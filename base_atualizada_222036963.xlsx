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_rels/drawing1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Dados DCA" sheetId="2" state="visible" r:id="rId4"/>
    <sheet name="Dados IBGE" sheetId="3" state="visible" r:id="rId5"/>
    <sheet name="Bélgica" sheetId="4" state="visible" r:id="rId6"/>
    <sheet name="Cálculos Municipais" sheetId="5" state="visible" r:id="rId7"/>
    <sheet name="Funções" sheetId="6" state="visible" r:id="rId8"/>
    <sheet name="Fontes e Métodos" sheetId="7" state="visible" r:id="rId9"/>
    <sheet name="Validação" sheetId="8" state="visible" r:id="rId10"/>
  </sheets>
  <definedNames>
    <definedName function="false" hidden="false" localSheetId="3" name="_xlnm.Print_Area" vbProcedure="false">Bélgica!$B$2:$F$19</definedName>
    <definedName function="false" hidden="false" localSheetId="3" name="_xlnm.Print_Titles" vbProcedure="false">Bélgica!$8:$8</definedName>
    <definedName function="false" hidden="true" localSheetId="3" name="_xlnm._FilterDatabase" vbProcedure="false">Bélgica!$C$8:$F$19</definedName>
    <definedName function="false" hidden="false" localSheetId="4" name="_xlnm.Print_Area" vbProcedure="false">'Cálculos Municipais'!$B$2:$AD$28</definedName>
    <definedName function="false" hidden="false" localSheetId="4" name="_xlnm.Print_Titles" vbProcedure="false">'Cálculos Municipais'!$8:$8</definedName>
    <definedName function="false" hidden="true" localSheetId="4" name="_xlnm._FilterDatabase" vbProcedure="false">'Cálculos Municipais'!$C$8:$AD$28</definedName>
    <definedName function="false" hidden="false" localSheetId="1" name="_xlnm.Print_Area" vbProcedure="false">'Dados DCA'!$B$2:$M$564</definedName>
    <definedName function="false" hidden="false" localSheetId="1" name="_xlnm.Print_Titles" vbProcedure="false">'Dados DCA'!$8:$8</definedName>
    <definedName function="false" hidden="true" localSheetId="1" name="_xlnm._FilterDatabase" vbProcedure="false">'Dados DCA'!$C$8:$M$564</definedName>
    <definedName function="false" hidden="false" localSheetId="2" name="_xlnm.Print_Area" vbProcedure="false">'Dados IBGE'!$B$2:$L$164</definedName>
    <definedName function="false" hidden="false" localSheetId="2" name="_xlnm.Print_Titles" vbProcedure="false">'Dados IBGE'!$8:$8</definedName>
    <definedName function="false" hidden="true" localSheetId="2" name="_xlnm._FilterDatabase" vbProcedure="false">'Dados IBGE'!$C$8:$L$164</definedName>
    <definedName function="false" hidden="false" localSheetId="6" name="_xlnm.Print_Area" vbProcedure="false">'Fontes e Métodos'!$B$2:$D$20</definedName>
    <definedName function="false" hidden="false" localSheetId="6" name="_xlnm.Print_Titles" vbProcedure="false">'Fontes e Métodos'!$8:$8</definedName>
    <definedName function="false" hidden="true" localSheetId="6" name="_xlnm._FilterDatabase" vbProcedure="false">'Fontes e Métodos'!$C$8:$D$20</definedName>
    <definedName function="false" hidden="false" localSheetId="5" name="_xlnm.Print_Area" vbProcedure="false">Funções!$B$2:$J$264</definedName>
    <definedName function="false" hidden="false" localSheetId="5" name="_xlnm.Print_Titles" vbProcedure="false">Funções!$8:$8</definedName>
    <definedName function="false" hidden="true" localSheetId="5" name="_xlnm._FilterDatabase" vbProcedure="false">Funções!$C$8:$J$264</definedName>
    <definedName function="false" hidden="false" localSheetId="0" name="_xlnm.Print_Area" vbProcedure="false">Resumo!$B$2:$G$25</definedName>
    <definedName function="false" hidden="false" localSheetId="0" name="_xlnm.Print_Titles" vbProcedure="false">Resumo!$8:$8</definedName>
    <definedName function="false" hidden="true" localSheetId="0" name="_xlnm._FilterDatabase" vbProcedure="false">Resumo!$C$8:$G$23</definedName>
    <definedName function="false" hidden="false" localSheetId="7" name="_xlnm.Print_Area" vbProcedure="false">Validação!$B$2:$D$20</definedName>
    <definedName function="false" hidden="false" localSheetId="7" name="_xlnm.Print_Titles" vbProcedure="false">Validação!$8:$8</definedName>
    <definedName function="false" hidden="true" localSheetId="7" name="_xlnm._FilterDatabase" vbProcedure="false">Validação!$C$8:$D$20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I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I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I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I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I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I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I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J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J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J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J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J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J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J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K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K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K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K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K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K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K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K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L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L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L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L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L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L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L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L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L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Receitas Brutas Realizadas; indicador de seleção receita_total_bruta.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TotalReceitas / Total Receitas; coluna Deduções - FUNDEB; indicador de seleção deducao_fundeb.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Empenhadas; indicador de seleção despesa_empenhada_total.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2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Liquidadas; indicador de seleção despesa_liquidada_total.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I-D; conta TotalDespesas / Total Geral da Despesa; coluna Despesas Pagas; indicador de seleção despesa_paga_total.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5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7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Fonte: Siconfi/STN, API DCA; consulta anual. Exercício 2015;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https://apidatalake.tesouro.gov.br/ords/cdwhprd/siconfi/tt/dca?an_exercicio=2015&amp;id_ente=2601201. Arquivo preservado: data/brutos/siconfi_dca_arcoverde_2015.json.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9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Receitas Brutas Realizadas; indicador de seleção receita_total_bruta.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TotalReceitas / Total Receitas; coluna Deduções - FUNDEB; indicador de seleção deducao_fundeb.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21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Empenhadas; indicador de seleção despesa_empenhada_total.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2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Liquidadas; indicador de seleção despesa_liquidada_total.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I-D; conta TotalDespesas / Total Geral da Despesa; coluna Despesas Pagas; indicador de seleção despesa_paga_total.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6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7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8" authorId="0">
      <text>
        <r>
          <rPr>
            <sz val="10"/>
            <rFont val="Arial"/>
            <family val="2"/>
          </rPr>
          <t xml:space="preserve">Fonte: Siconfi/STN, API DCA; consulta anual. Exercício 2016;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https://apidatalake.tesouro.gov.br/ords/cdwhprd/siconfi/tt/dca?an_exercicio=2016&amp;id_ente=2601201. Arquivo preservado: data/brutos/siconfi_dca_arcoverde_2016.json.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Receitas Brutas Realizadas; indicador de seleção receita_total_bruta.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TotalReceitas / Total Receitas; coluna Deduções - FUNDEB; indicador de seleção deducao_fundeb.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3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Empenhadas; indicador de seleção despesa_empenhada_total.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Liquidadas; indicador de seleção despesa_liquidada_total.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I-D; conta TotalDespesas / Total Geral da Despesa; coluna Despesas Pagas; indicador de seleção despesa_paga_total.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01 - Legislativa; coluna Despesas Empenhadas; indicador de seleção despesa_funcao_01.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04 - Administração; coluna Despesas Empenhadas; indicador de seleção despesa_funcao_04.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08 - Assistência Social; coluna Despesas Empenhadas; indicador de seleção despesa_funcao_08.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09 - Previdência Social; coluna Despesas Empenhadas; indicador de seleção despesa_funcao_09.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10 - Saúde; coluna Despesas Empenhadas; indicador de seleção despesa_funcao_10.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7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11 - Trabalho; coluna Despesas Empenhadas; indicador de seleção despesa_funcao_11.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12 - Educação; coluna Despesas Empenhadas; indicador de seleção despesa_funcao_12.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13 - Cultura; coluna Despesas Empenhadas; indicador de seleção despesa_funcao_13.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0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15 - Urbanismo; coluna Despesas Empenhadas; indicador de seleção despesa_funcao_15.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17 - Saneamento; coluna Despesas Empenhadas; indicador de seleção despesa_funcao_17.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18 - Gestão Ambiental; coluna Despesas Empenhadas; indicador de seleção despesa_funcao_18.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3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20 - Agricultura; coluna Despesas Empenhadas; indicador de seleção despesa_funcao_20.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4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23 - Comércio e Serviços; coluna Despesas Empenhadas; indicador de seleção despesa_funcao_23.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26 - Transporte; coluna Despesas Empenhadas; indicador de seleção despesa_funcao_26.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6" authorId="0">
      <text>
        <r>
          <rPr>
            <sz val="10"/>
            <rFont val="Arial"/>
            <family val="2"/>
          </rPr>
          <t xml:space="preserve">Fonte: Siconfi/STN, API DCA; consulta anual. Exercício 2017; município Arcoverde/PE (código IBGE 2601201); anexo DCA-Anexo I-E; conta TotalDespesas / 28 - Encargos Especiais; coluna Despesas Empenhadas; indicador de seleção despesa_funcao_28. URL: https://apidatalake.tesouro.gov.br/ords/cdwhprd/siconfi/tt/dca?an_exercicio=2017&amp;id_ente=2601201. Arquivo preservado: data/brutos/siconfi_dca_arcoverde_2017.json.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Receitas Brutas Realizadas; indicador de seleção receita_total_bruta.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TotalReceitas / Total Receitas; coluna Deduções - FUNDEB; indicador de seleção deducao_fundeb.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5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Empenhadas; indicador de seleção despesa_empenhada_total.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6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Liquidadas; indicador de seleção despesa_liquidada_total.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6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I-D; conta TotalDespesas / Total Geral da Despesa; coluna Despesas Pagas; indicador de seleção despesa_paga_total.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6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6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6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6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6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6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6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6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7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7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7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01 - Legislativa; coluna Despesas Empenhadas; indicador de seleção despesa_funcao_01.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04 - Administração; coluna Despesas Empenhadas; indicador de seleção despesa_funcao_04.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06 - Segurança Pública; coluna Despesas Empenhadas; indicador de seleção despesa_funcao_06.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08 - Assistência Social; coluna Despesas Empenhadas; indicador de seleção despesa_funcao_08.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09 - Previdência Social; coluna Despesas Empenhadas; indicador de seleção despesa_funcao_09.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10 - Saúde; coluna Despesas Empenhadas; indicador de seleção despesa_funcao_10.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11 - Trabalho; coluna Despesas Empenhadas; indicador de seleção despesa_funcao_11.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79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12 - Educação; coluna Despesas Empenhadas; indicador de seleção despesa_funcao_12.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0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14 - Direitos da Cidadania; coluna Despesas Empenhadas; indicador de seleção despesa_funcao_14.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1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15 - Urbanismo; coluna Despesas Empenhadas; indicador de seleção despesa_funcao_15.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2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18 - Gestão Ambiental; coluna Despesas Empenhadas; indicador de seleção despesa_funcao_18.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3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20 - Agricultura; coluna Despesas Empenhadas; indicador de seleção despesa_funcao_20.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4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23 - Comércio e Serviços; coluna Despesas Empenhadas; indicador de seleção despesa_funcao_23.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5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25 - Energia; coluna Despesas Empenhadas; indicador de seleção despesa_funcao_25.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6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26 - Transporte; coluna Despesas Empenhadas; indicador de seleção despesa_funcao_26.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7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27 - Desporto e Lazer; coluna Despesas Empenhadas; indicador de seleção despesa_funcao_27.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8" authorId="0">
      <text>
        <r>
          <rPr>
            <sz val="10"/>
            <rFont val="Arial"/>
            <family val="2"/>
          </rPr>
          <t xml:space="preserve">Fonte: Siconfi/STN, API DCA; consulta anual. Exercício 2018; município Arcoverde/PE (código IBGE 2601201); anexo DCA-Anexo I-E; conta TotalDespesas / 28 - Encargos Especiais; coluna Despesas Empenhadas; indicador de seleção despesa_funcao_28. URL: https://apidatalake.tesouro.gov.br/ords/cdwhprd/siconfi/tt/dca?an_exercicio=2018&amp;id_ente=2601201. Arquivo preservado: data/brutos/siconfi_dca_arcoverde_2018.json.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8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9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9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Empenhadas; indicador de seleção despesa_empenhada_total.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9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Liquidadas; indicador de seleção despesa_liquidada_total.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9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I-D; conta TotalDespesas / Total Geral da Despesa; coluna Despesas Pagas; indicador de seleção despesa_paga_total.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9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9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9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9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9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9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0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0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0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0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10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0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01 - Legislativa; coluna Despesas Empenhadas; indicador de seleção despesa_funcao_01.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0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04 - Administração; coluna Despesas Empenhadas; indicador de seleção despesa_funcao_04.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0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08 - Assistência Social; coluna Despesas Empenhadas; indicador de seleção despesa_funcao_08.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0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09 - Previdência Social; coluna Despesas Empenhadas; indicador de seleção despesa_funcao_09.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0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10 - Saúde; coluna Despesas Empenhadas; indicador de seleção despesa_funcao_10.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0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11 - Trabalho; coluna Despesas Empenhadas; indicador de seleção despesa_funcao_11.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1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12 - Educação; coluna Despesas Empenhadas; indicador de seleção despesa_funcao_12.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2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14 - Direitos da Cidadania; coluna Despesas Empenhadas; indicador de seleção despesa_funcao_14.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3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15 - Urbanismo; coluna Despesas Empenhadas; indicador de seleção despesa_funcao_15.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4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18 - Gestão Ambiental; coluna Despesas Empenhadas; indicador de seleção despesa_funcao_18.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5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20 - Agricultura; coluna Despesas Empenhadas; indicador de seleção despesa_funcao_20.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6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23 - Comércio e Serviços; coluna Despesas Empenhadas; indicador de seleção despesa_funcao_23.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7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26 - Transporte; coluna Despesas Empenhadas; indicador de seleção despesa_funcao_26.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8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27 - Desporto e Lazer; coluna Despesas Empenhadas; indicador de seleção despesa_funcao_27.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19" authorId="0">
      <text>
        <r>
          <rPr>
            <sz val="10"/>
            <rFont val="Arial"/>
            <family val="2"/>
          </rPr>
          <t xml:space="preserve">Fonte: Siconfi/STN, API DCA; consulta anual. Exercício 2019; município Arcoverde/PE (código IBGE 2601201); anexo DCA-Anexo I-E; conta TotalDespesas / 28 - Encargos Especiais; coluna Despesas Empenhadas; indicador de seleção despesa_funcao_28. URL: https://apidatalake.tesouro.gov.br/ords/cdwhprd/siconfi/tt/dca?an_exercicio=2019&amp;id_ente=2601201. Arquivo preservado: data/brutos/siconfi_dca_arcoverde_2019.json.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2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2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2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Empenhadas; indicador de seleção despesa_empenhada_total.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2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Liquidadas; indicador de seleção despesa_liquidada_total.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2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I-D; conta TotalDespesas / Total Geral da Despesa; coluna Despesas Pagas; indicador de seleção despesa_paga_total.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2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2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2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2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2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3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3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3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3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3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M13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3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3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01 - Legislativa; coluna Despesas Empenhadas; indicador de seleção despesa_funcao_01.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3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04 - Administração; coluna Despesas Empenhadas; indicador de seleção despesa_funcao_04.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3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08 - Assistência Social; coluna Despesas Empenhadas; indicador de seleção despesa_funcao_08.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0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09 - Previdência Social; coluna Despesas Empenhadas; indicador de seleção despesa_funcao_09.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1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10 - Saúde; coluna Despesas Empenhadas; indicador de seleção despesa_funcao_10.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2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12 - Educação; coluna Despesas Empenhadas; indicador de seleção despesa_funcao_12.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3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13 - Cultura; coluna Despesas Empenhadas; indicador de seleção despesa_funcao_13.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4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14 - Direitos da Cidadania; coluna Despesas Empenhadas; indicador de seleção despesa_funcao_14.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5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15 - Urbanismo; coluna Despesas Empenhadas; indicador de seleção despesa_funcao_15.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6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18 - Gestão Ambiental; coluna Despesas Empenhadas; indicador de seleção despesa_funcao_18.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7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20 - Agricultura; coluna Despesas Empenhadas; indicador de seleção despesa_funcao_20.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8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23 - Comércio e Serviços; coluna Despesas Empenhadas; indicador de seleção despesa_funcao_23.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49" authorId="0">
      <text>
        <r>
          <rPr>
            <sz val="10"/>
            <rFont val="Arial"/>
            <family val="2"/>
          </rPr>
          <t xml:space="preserve">Fonte: Siconfi/STN, API DCA; consulta anual. Exercício 2020; município Arcoverde/PE (código IBGE 2601201); anexo DCA-Anexo I-E; conta TotalDespesas / 28 - Encargos Especiais; coluna Despesas Empenhadas; indicador de seleção despesa_funcao_28. URL: https://apidatalake.tesouro.gov.br/ords/cdwhprd/siconfi/tt/dca?an_exercicio=2020&amp;id_ente=2601201. Arquivo preservado: data/brutos/siconfi_dca_arcoverde_2020.json.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5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5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5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Empenhadas; indicador de seleção despesa_empenhada_total.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5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Liquidadas; indicador de seleção despesa_liquidada_total.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5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I-D; conta TotalDespesas / Total Geral da Despesa; coluna Despesas Pagas; indicador de seleção despesa_paga_total.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5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5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5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5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5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6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6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6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6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6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17</xdr:rowOff>
              </xdr:to>
            </anchor>
          </commentPr>
        </mc:Choice>
        <mc:Fallback/>
      </mc:AlternateContent>
    </comment>
    <comment ref="M16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6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6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01 - Legislativa; coluna Despesas Empenhadas; indicador de seleção despesa_funcao_01.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6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04 - Administração; coluna Despesas Empenhadas; indicador de seleção despesa_funcao_04.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6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08 - Assistência Social; coluna Despesas Empenhadas; indicador de seleção despesa_funcao_08.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0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09 - Previdência Social; coluna Despesas Empenhadas; indicador de seleção despesa_funcao_09.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1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10 - Saúde; coluna Despesas Empenhadas; indicador de seleção despesa_funcao_10.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2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11 - Trabalho; coluna Despesas Empenhadas; indicador de seleção despesa_funcao_11.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3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12 - Educação; coluna Despesas Empenhadas; indicador de seleção despesa_funcao_12.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4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14 - Direitos da Cidadania; coluna Despesas Empenhadas; indicador de seleção despesa_funcao_14.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5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15 - Urbanismo; coluna Despesas Empenhadas; indicador de seleção despesa_funcao_15.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6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18 - Gestão Ambiental; coluna Despesas Empenhadas; indicador de seleção despesa_funcao_18.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7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20 - Agricultura; coluna Despesas Empenhadas; indicador de seleção despesa_funcao_20.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8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23 - Comércio e Serviços; coluna Despesas Empenhadas; indicador de seleção despesa_funcao_23.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79" authorId="0">
      <text>
        <r>
          <rPr>
            <sz val="10"/>
            <rFont val="Arial"/>
            <family val="2"/>
          </rPr>
          <t xml:space="preserve">Fonte: Siconfi/STN, API DCA; consulta anual. Exercício 2021; município Arcoverde/PE (código IBGE 2601201); anexo DCA-Anexo I-E; conta TotalDespesas / 28 - Encargos Especiais; coluna Despesas Empenhadas; indicador de seleção despesa_funcao_28. URL: https://apidatalake.tesouro.gov.br/ords/cdwhprd/siconfi/tt/dca?an_exercicio=2021&amp;id_ente=2601201. Arquivo preservado: data/brutos/siconfi_dca_arcoverde_2021.json.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8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8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8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8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Empenhadas; indicador de seleção despesa_empenhada_total.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8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Liquidadas; indicador de seleção despesa_liquidada_total.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8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I-D; conta TotalDespesas / Total Geral da Despesa; coluna Despesas Pagas; indicador de seleção despesa_paga_total.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8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8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8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18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9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9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9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9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19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9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19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19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19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01 - Legislativa; coluna Despesas Empenhadas; indicador de seleção despesa_funcao_01.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19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04 - Administração; coluna Despesas Empenhadas; indicador de seleção despesa_funcao_04.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08 - Assistência Social; coluna Despesas Empenhadas; indicador de seleção despesa_funcao_08.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09 - Previdência Social; coluna Despesas Empenhadas; indicador de seleção despesa_funcao_09.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10 - Saúde; coluna Despesas Empenhadas; indicador de seleção despesa_funcao_10.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3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11 - Trabalho; coluna Despesas Empenhadas; indicador de seleção despesa_funcao_11.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4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12 - Educação; coluna Despesas Empenhadas; indicador de seleção despesa_funcao_12.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5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13 - Cultura; coluna Despesas Empenhadas; indicador de seleção despesa_funcao_13.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6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14 - Direitos da Cidadania; coluna Despesas Empenhadas; indicador de seleção despesa_funcao_14.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7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15 - Urbanismo; coluna Despesas Empenhadas; indicador de seleção despesa_funcao_15.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8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18 - Gestão Ambiental; coluna Despesas Empenhadas; indicador de seleção despesa_funcao_18.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09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20 - Agricultura; coluna Despesas Empenhadas; indicador de seleção despesa_funcao_20.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0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23 - Comércio e Serviços; coluna Despesas Empenhadas; indicador de seleção despesa_funcao_23.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1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27 - Desporto e Lazer; coluna Despesas Empenhadas; indicador de seleção despesa_funcao_27.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2" authorId="0">
      <text>
        <r>
          <rPr>
            <sz val="10"/>
            <rFont val="Arial"/>
            <family val="2"/>
          </rPr>
          <t xml:space="preserve">Fonte: Siconfi/STN, API DCA; consulta anual. Exercício 2022; município Arcoverde/PE (código IBGE 2601201); anexo DCA-Anexo I-E; conta TotalDespesas / 28 - Encargos Especiais; coluna Despesas Empenhadas; indicador de seleção despesa_funcao_28. URL: https://apidatalake.tesouro.gov.br/ords/cdwhprd/siconfi/tt/dca?an_exercicio=2022&amp;id_ente=2601201. Arquivo preservado: data/brutos/siconfi_dca_arcoverde_2022.json.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1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Empenhadas; indicador de seleção despesa_empenhada_total.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Liquidadas; indicador de seleção despesa_liquidada_total.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I-D; conta TotalDespesas / Total Geral da Despesa; coluna Despesas Pagas; indicador de seleção despesa_paga_total.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1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2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2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2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2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2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2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2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2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22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22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3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23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01 - Legislativa; coluna Despesas Empenhadas; indicador de seleção despesa_funcao_01.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04 - Administração; coluna Despesas Empenhadas; indicador de seleção despesa_funcao_04.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08 - Assistência Social; coluna Despesas Empenhadas; indicador de seleção despesa_funcao_08.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09 - Previdência Social; coluna Despesas Empenhadas; indicador de seleção despesa_funcao_09.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10 - Saúde; coluna Despesas Empenhadas; indicador de seleção despesa_funcao_10.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11 - Trabalho; coluna Despesas Empenhadas; indicador de seleção despesa_funcao_11.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7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12 - Educação; coluna Despesas Empenhadas; indicador de seleção despesa_funcao_12.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8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13 - Cultura; coluna Despesas Empenhadas; indicador de seleção despesa_funcao_13.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39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14 - Direitos da Cidadania; coluna Despesas Empenhadas; indicador de seleção despesa_funcao_14.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0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15 - Urbanismo; coluna Despesas Empenhadas; indicador de seleção despesa_funcao_15.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1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18 - Gestão Ambiental; coluna Despesas Empenhadas; indicador de seleção despesa_funcao_18.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2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20 - Agricultura; coluna Despesas Empenhadas; indicador de seleção despesa_funcao_20.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3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23 - Comércio e Serviços; coluna Despesas Empenhadas; indicador de seleção despesa_funcao_23.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4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26 - Transporte; coluna Despesas Empenhadas; indicador de seleção despesa_funcao_26.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5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27 - Desporto e Lazer; coluna Despesas Empenhadas; indicador de seleção despesa_funcao_27.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6" authorId="0">
      <text>
        <r>
          <rPr>
            <sz val="10"/>
            <rFont val="Arial"/>
            <family val="2"/>
          </rPr>
          <t xml:space="preserve">Fonte: Siconfi/STN, API DCA; consulta anual. Exercício 2023; município Arcoverde/PE (código IBGE 2601201); anexo DCA-Anexo I-E; conta TotalDespesas / 28 - Encargos Especiais; coluna Despesas Empenhadas; indicador de seleção despesa_funcao_28. URL: https://apidatalake.tesouro.gov.br/ords/cdwhprd/siconfi/tt/dca?an_exercicio=2023&amp;id_ente=2601201. Arquivo preservado: data/brutos/siconfi_dca_arcoverde_2023.json.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Receitas Brutas Realizadas; indicador de seleção receita_total_bruta.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4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Deduções - FUNDEB; indicador de seleção deducao_fundeb.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4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TotalReceitas / TOTAL DAS RECEITAS (III) = (I + II); coluna Outras Deduções da Receita; indicador de seleção outras_deducoes.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5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Empenhadas; indicador de seleção despesa_empenhada_total.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5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Liquidadas; indicador de seleção despesa_liquidada_total.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5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I-D; conta TotalDespesas / Total Geral da Despesa; coluna Despesas Pagas; indicador de seleção despesa_paga_total.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5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Empenhadas; indicador de seleção despesa_empenhada_exceto_intra.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5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Liquidadas; indicador de seleção despesa_liquidada_exceto_intra.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5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Despesas Exceto Intraorçamentárias; coluna Despesas Pagas; indicador de seleção despesa_paga_exceto_intra.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5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ReceitasIntraOrcamentarias / RECEITAS (INTRA-ORÇAMENTÁRIAS) (II); coluna Receitas Brutas Realizadas; indicador de seleção receita_intra_bruta.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5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5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5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6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6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26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26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6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26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01 - Legislativa; coluna Despesas Empenhadas; indicador de seleção despesa_funcao_01.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6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04 - Administração; coluna Despesas Empenhadas; indicador de seleção despesa_funcao_04.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6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08 - Assistência Social; coluna Despesas Empenhadas; indicador de seleção despesa_funcao_08.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6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09 - Previdência Social; coluna Despesas Empenhadas; indicador de seleção despesa_funcao_09.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6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10 - Saúde; coluna Despesas Empenhadas; indicador de seleção despesa_funcao_10.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0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11 - Trabalho; coluna Despesas Empenhadas; indicador de seleção despesa_funcao_11.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1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12 - Educação; coluna Despesas Empenhadas; indicador de seleção despesa_funcao_12.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2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13 - Cultura; coluna Despesas Empenhadas; indicador de seleção despesa_funcao_13.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3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14 - Direitos da Cidadania; coluna Despesas Empenhadas; indicador de seleção despesa_funcao_14.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4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15 - Urbanismo; coluna Despesas Empenhadas; indicador de seleção despesa_funcao_15.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5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18 - Gestão Ambiental; coluna Despesas Empenhadas; indicador de seleção despesa_funcao_18.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6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20 - Agricultura; coluna Despesas Empenhadas; indicador de seleção despesa_funcao_20.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7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23 - Comércio e Serviços; coluna Despesas Empenhadas; indicador de seleção despesa_funcao_23.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8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27 - Desporto e Lazer; coluna Despesas Empenhadas; indicador de seleção despesa_funcao_27.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79" authorId="0">
      <text>
        <r>
          <rPr>
            <sz val="10"/>
            <rFont val="Arial"/>
            <family val="2"/>
          </rPr>
          <t xml:space="preserve">Fonte: Siconfi/STN, API DCA; consulta anual. Exercício 2024; município Arcoverde/PE (código IBGE 2601201); anexo DCA-Anexo I-E; conta TotalDespesas / 28 - Encargos Especiais; coluna Despesas Empenhadas; indicador de seleção despesa_funcao_28. URL: https://apidatalake.tesouro.gov.br/ords/cdwhprd/siconfi/tt/dca?an_exercicio=2024&amp;id_ente=2601201. Arquivo preservado: data/brutos/siconfi_dca_arcoverde_2024.json.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80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Receitas Brutas Realizadas; indicador de seleção receita_total_bruta.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81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TotalReceitas / Total Receitas; coluna Deduções - FUNDEB; indicador de seleção deducao_fundeb.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282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Empenhadas; indicador de seleção despesa_empenhada_total.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83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Liquidadas; indicador de seleção despesa_liquidada_total.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84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I-D; conta TotalDespesas / Total Geral da Despesa; coluna Despesas Pagas; indicador de seleção despesa_paga_total.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85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86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87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88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89" authorId="0">
      <text>
        <r>
          <rPr>
            <sz val="10"/>
            <rFont val="Arial"/>
            <family val="2"/>
          </rPr>
          <t xml:space="preserve">Fonte: Siconfi/STN, API DCA; consulta anual. Exercício 2015;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https://apidatalake.tesouro.gov.br/ords/cdwhprd/siconfi/tt/dca?an_exercicio=2015&amp;id_ente=2601102. Arquivo preservado: data/brutos/siconfi_dca_araripina_2015.json.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90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Receitas Brutas Realizadas; indicador de seleção receita_total_bruta.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91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TotalReceitas / Total Receitas; coluna Deduções - FUNDEB; indicador de seleção deducao_fundeb.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292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Empenhadas; indicador de seleção despesa_empenhada_total.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93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Liquidadas; indicador de seleção despesa_liquidada_total.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94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I-D; conta TotalDespesas / Total Geral da Despesa; coluna Despesas Pagas; indicador de seleção despesa_paga_total.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295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296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97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298" authorId="0">
      <text>
        <r>
          <rPr>
            <sz val="10"/>
            <rFont val="Arial"/>
            <family val="2"/>
          </rPr>
          <t xml:space="preserve">Fonte: Siconfi/STN, API DCA; consulta anual. Exercício 2016;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https://apidatalake.tesouro.gov.br/ords/cdwhprd/siconfi/tt/dca?an_exercicio=2016&amp;id_ente=2601102. Arquivo preservado: data/brutos/siconfi_dca_araripina_2016.json.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29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Receitas Brutas Realizadas; indicador de seleção receita_total_bruta.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0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TotalReceitas / Total Receitas; coluna Deduções - FUNDEB; indicador de seleção deducao_fundeb.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30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Empenhadas; indicador de seleção despesa_empenhada_total.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0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Liquidadas; indicador de seleção despesa_liquidada_total.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0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I-D; conta TotalDespesas / Total Geral da Despesa; coluna Despesas Pagas; indicador de seleção despesa_paga_total.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0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0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0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0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RO1.1.0.0.00.00.00 / 1.1.0.0.00.00.00 - Receita Tributária; coluna Receitas Brutas Realizadas; indicador de seleção receita_tributaria_propria_bruta.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0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RO1.7.0.0.00.00.00 / 1.7.0.0.00.00.00 - Transferências Correntes; coluna Receitas Brutas Realizadas; indicador de seleção transferencias_correntes_total_brutas.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0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RO2.4.0.0.00.00.00 / 2.4.0.0.00.00.00 - Transferências de Capital; coluna Receitas Brutas Realizadas; indicador de seleção transferencias_capital_total_brutas.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1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RO1.7.2.0.00.00.00 / 1.7.2.0.00.00.00 - Transferências Intergovernamentais; coluna Receitas Brutas Realizadas; indicador de seleção transferencias_intergov_correntes_proxy.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31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I-C; conta RO2.4.2.0.00.00.00 / 2.4.2.0.00.00.00 - Transferências Intergovernamentais; coluna Receitas Brutas Realizadas; indicador de seleção transferencias_intergov_capital_proxy.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1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01 - Legislativa; coluna Despesas Empenhadas; indicador de seleção despesa_funcao_01.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02 - Judiciária; coluna Despesas Empenhadas; indicador de seleção despesa_funcao_02.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04 - Administração; coluna Despesas Empenhadas; indicador de seleção despesa_funcao_04.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08 - Assistência Social; coluna Despesas Empenhadas; indicador de seleção despesa_funcao_08.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09 - Previdência Social; coluna Despesas Empenhadas; indicador de seleção despesa_funcao_09.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7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10 - Saúde; coluna Despesas Empenhadas; indicador de seleção despesa_funcao_10.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8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12 - Educação; coluna Despesas Empenhadas; indicador de seleção despesa_funcao_12.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19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13 - Cultura; coluna Despesas Empenhadas; indicador de seleção despesa_funcao_13.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0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15 - Urbanismo; coluna Despesas Empenhadas; indicador de seleção despesa_funcao_15.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1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17 - Saneamento; coluna Despesas Empenhadas; indicador de seleção despesa_funcao_17.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2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19 - Ciência e Tecnologia; coluna Despesas Empenhadas; indicador de seleção despesa_funcao_19.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3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20 - Agricultura; coluna Despesas Empenhadas; indicador de seleção despesa_funcao_20.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4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23 - Comércio e Serviços; coluna Despesas Empenhadas; indicador de seleção despesa_funcao_23.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5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27 - Desporto e Lazer; coluna Despesas Empenhadas; indicador de seleção despesa_funcao_27.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6" authorId="0">
      <text>
        <r>
          <rPr>
            <sz val="10"/>
            <rFont val="Arial"/>
            <family val="2"/>
          </rPr>
          <t xml:space="preserve">Fonte: Siconfi/STN, API DCA; consulta anual. Exercício 2017; município Araripina/PE (código IBGE 2601102); anexo DCA-Anexo I-E; conta TotalDespesas / 28 - Encargos Especiais; coluna Despesas Empenhadas; indicador de seleção despesa_funcao_28. URL: https://apidatalake.tesouro.gov.br/ords/cdwhprd/siconfi/tt/dca?an_exercicio=2017&amp;id_ente=2601102. Arquivo preservado: data/brutos/siconfi_dca_araripina_2017.json.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Receitas Brutas Realizadas; indicador de seleção receita_total_bruta.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2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TotalReceitas / Total Receitas; coluna Deduções - FUNDEB; indicador de seleção deducao_fundeb.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16</xdr:row>
                <xdr:rowOff>8</xdr:rowOff>
              </xdr:to>
            </anchor>
          </commentPr>
        </mc:Choice>
        <mc:Fallback/>
      </mc:AlternateContent>
    </comment>
    <comment ref="M32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Empenhadas; indicador de seleção despesa_empenhada_total.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3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Liquidadas; indicador de seleção despesa_liquidada_total.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3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I-D; conta TotalDespesas / Total Geral da Despesa; coluna Despesas Pagas; indicador de seleção despesa_paga_total.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3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3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3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3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33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3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3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33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34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34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34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01 - Legislativa; coluna Despesas Empenhadas; indicador de seleção despesa_funcao_01.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02 - Judiciária; coluna Despesas Empenhadas; indicador de seleção despesa_funcao_02.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04 - Administração; coluna Despesas Empenhadas; indicador de seleção despesa_funcao_04.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06 - Segurança Pública; coluna Despesas Empenhadas; indicador de seleção despesa_funcao_06.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08 - Assistência Social; coluna Despesas Empenhadas; indicador de seleção despesa_funcao_08.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09 - Previdência Social; coluna Despesas Empenhadas; indicador de seleção despesa_funcao_09.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10 - Saúde; coluna Despesas Empenhadas; indicador de seleção despesa_funcao_10.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49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12 - Educação; coluna Despesas Empenhadas; indicador de seleção despesa_funcao_12.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0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13 - Cultura; coluna Despesas Empenhadas; indicador de seleção despesa_funcao_13.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1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15 - Urbanismo; coluna Despesas Empenhadas; indicador de seleção despesa_funcao_15.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2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17 - Saneamento; coluna Despesas Empenhadas; indicador de seleção despesa_funcao_17.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3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18 - Gestão Ambiental; coluna Despesas Empenhadas; indicador de seleção despesa_funcao_18.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4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20 - Agricultura; coluna Despesas Empenhadas; indicador de seleção despesa_funcao_20.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5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24 - Comunicações; coluna Despesas Empenhadas; indicador de seleção despesa_funcao_24.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6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26 - Transporte; coluna Despesas Empenhadas; indicador de seleção despesa_funcao_26.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7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27 - Desporto e Lazer; coluna Despesas Empenhadas; indicador de seleção despesa_funcao_27.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8" authorId="0">
      <text>
        <r>
          <rPr>
            <sz val="10"/>
            <rFont val="Arial"/>
            <family val="2"/>
          </rPr>
          <t xml:space="preserve">Fonte: Siconfi/STN, API DCA; consulta anual. Exercício 2018; município Araripina/PE (código IBGE 2601102); anexo DCA-Anexo I-E; conta TotalDespesas / 28 - Encargos Especiais; coluna Despesas Empenhadas; indicador de seleção despesa_funcao_28. URL: https://apidatalake.tesouro.gov.br/ords/cdwhprd/siconfi/tt/dca?an_exercicio=2018&amp;id_ente=2601102. Arquivo preservado: data/brutos/siconfi_dca_araripina_2018.json.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5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6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6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Empenhadas; indicador de seleção despesa_empenhada_total.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6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Liquidadas; indicador de seleção despesa_liquidada_total.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6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I-D; conta TotalDespesas / Total Geral da Despesa; coluna Despesas Pagas; indicador de seleção despesa_paga_total.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6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6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6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6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6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36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37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7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37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37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37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37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01 - Legislativa; coluna Despesas Empenhadas; indicador de seleção despesa_funcao_01.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7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02 - Judiciária; coluna Despesas Empenhadas; indicador de seleção despesa_funcao_02.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7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04 - Administração; coluna Despesas Empenhadas; indicador de seleção despesa_funcao_04.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7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08 - Assistência Social; coluna Despesas Empenhadas; indicador de seleção despesa_funcao_08.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7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09 - Previdência Social; coluna Despesas Empenhadas; indicador de seleção despesa_funcao_09.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10 - Saúde; coluna Despesas Empenhadas; indicador de seleção despesa_funcao_10.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12 - Educação; coluna Despesas Empenhadas; indicador de seleção despesa_funcao_12.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2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13 - Cultura; coluna Despesas Empenhadas; indicador de seleção despesa_funcao_13.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3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15 - Urbanismo; coluna Despesas Empenhadas; indicador de seleção despesa_funcao_15.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4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17 - Saneamento; coluna Despesas Empenhadas; indicador de seleção despesa_funcao_17.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5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18 - Gestão Ambiental; coluna Despesas Empenhadas; indicador de seleção despesa_funcao_18.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6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20 - Agricultura; coluna Despesas Empenhadas; indicador de seleção despesa_funcao_20.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7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23 - Comércio e Serviços; coluna Despesas Empenhadas; indicador de seleção despesa_funcao_23.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8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24 - Comunicações; coluna Despesas Empenhadas; indicador de seleção despesa_funcao_24.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89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26 - Transporte; coluna Despesas Empenhadas; indicador de seleção despesa_funcao_26.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0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27 - Desporto e Lazer; coluna Despesas Empenhadas; indicador de seleção despesa_funcao_27.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1" authorId="0">
      <text>
        <r>
          <rPr>
            <sz val="10"/>
            <rFont val="Arial"/>
            <family val="2"/>
          </rPr>
          <t xml:space="preserve">Fonte: Siconfi/STN, API DCA; consulta anual. Exercício 2019; município Araripina/PE (código IBGE 2601102); anexo DCA-Anexo I-E; conta TotalDespesas / 28 - Encargos Especiais; coluna Despesas Empenhadas; indicador de seleção despesa_funcao_28. URL: https://apidatalake.tesouro.gov.br/ords/cdwhprd/siconfi/tt/dca?an_exercicio=2019&amp;id_ente=2601102. Arquivo preservado: data/brutos/siconfi_dca_araripina_2019.json.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9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Empenhadas; indicador de seleção despesa_empenhada_total.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Liquidadas; indicador de seleção despesa_liquidada_total.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I-D; conta TotalDespesas / Total Geral da Despesa; coluna Despesas Pagas; indicador de seleção despesa_paga_total.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39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9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39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0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0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0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0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0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0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40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40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0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01 - Legislativa; coluna Despesas Empenhadas; indicador de seleção despesa_funcao_01.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0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02 - Judiciária; coluna Despesas Empenhadas; indicador de seleção despesa_funcao_02.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04 - Administração; coluna Despesas Empenhadas; indicador de seleção despesa_funcao_04.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08 - Assistência Social; coluna Despesas Empenhadas; indicador de seleção despesa_funcao_08.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09 - Previdência Social; coluna Despesas Empenhadas; indicador de seleção despesa_funcao_09.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10 - Saúde; coluna Despesas Empenhadas; indicador de seleção despesa_funcao_10.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4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12 - Educação; coluna Despesas Empenhadas; indicador de seleção despesa_funcao_12.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5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13 - Cultura; coluna Despesas Empenhadas; indicador de seleção despesa_funcao_13.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6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15 - Urbanismo; coluna Despesas Empenhadas; indicador de seleção despesa_funcao_15.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7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17 - Saneamento; coluna Despesas Empenhadas; indicador de seleção despesa_funcao_17.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8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18 - Gestão Ambiental; coluna Despesas Empenhadas; indicador de seleção despesa_funcao_18.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19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20 - Agricultura; coluna Despesas Empenhadas; indicador de seleção despesa_funcao_20.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0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24 - Comunicações; coluna Despesas Empenhadas; indicador de seleção despesa_funcao_24.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1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26 - Transporte; coluna Despesas Empenhadas; indicador de seleção despesa_funcao_26.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2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27 - Desporto e Lazer; coluna Despesas Empenhadas; indicador de seleção despesa_funcao_27.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3" authorId="0">
      <text>
        <r>
          <rPr>
            <sz val="10"/>
            <rFont val="Arial"/>
            <family val="2"/>
          </rPr>
          <t xml:space="preserve">Fonte: Siconfi/STN, API DCA; consulta anual. Exercício 2020; município Araripina/PE (código IBGE 2601102); anexo DCA-Anexo I-E; conta TotalDespesas / 28 - Encargos Especiais; coluna Despesas Empenhadas; indicador de seleção despesa_funcao_28. URL: https://apidatalake.tesouro.gov.br/ords/cdwhprd/siconfi/tt/dca?an_exercicio=2020&amp;id_ente=2601102. Arquivo preservado: data/brutos/siconfi_dca_araripina_2020.json.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2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Empenhadas; indicador de seleção despesa_empenhada_total.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Liquidadas; indicador de seleção despesa_liquidada_total.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2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I-D; conta TotalDespesas / Total Geral da Despesa; coluna Despesas Pagas; indicador de seleção despesa_paga_total.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3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3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3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3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3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3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3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3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3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43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44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4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44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01 - Legislativa; coluna Despesas Empenhadas; indicador de seleção despesa_funcao_01.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02 - Judiciária; coluna Despesas Empenhadas; indicador de seleção despesa_funcao_02.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04 - Administração; coluna Despesas Empenhadas; indicador de seleção despesa_funcao_04.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08 - Assistência Social; coluna Despesas Empenhadas; indicador de seleção despesa_funcao_08.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09 - Previdência Social; coluna Despesas Empenhadas; indicador de seleção despesa_funcao_09.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10 - Saúde; coluna Despesas Empenhadas; indicador de seleção despesa_funcao_10.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8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12 - Educação; coluna Despesas Empenhadas; indicador de seleção despesa_funcao_12.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49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13 - Cultura; coluna Despesas Empenhadas; indicador de seleção despesa_funcao_13.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0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15 - Urbanismo; coluna Despesas Empenhadas; indicador de seleção despesa_funcao_15.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1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17 - Saneamento; coluna Despesas Empenhadas; indicador de seleção despesa_funcao_17.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2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18 - Gestão Ambiental; coluna Despesas Empenhadas; indicador de seleção despesa_funcao_18.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3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20 - Agricultura; coluna Despesas Empenhadas; indicador de seleção despesa_funcao_20.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4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24 - Comunicações; coluna Despesas Empenhadas; indicador de seleção despesa_funcao_24.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5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26 - Transporte; coluna Despesas Empenhadas; indicador de seleção despesa_funcao_26.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6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27 - Desporto e Lazer; coluna Despesas Empenhadas; indicador de seleção despesa_funcao_27.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7" authorId="0">
      <text>
        <r>
          <rPr>
            <sz val="10"/>
            <rFont val="Arial"/>
            <family val="2"/>
          </rPr>
          <t xml:space="preserve">Fonte: Siconfi/STN, API DCA; consulta anual. Exercício 2021; município Araripina/PE (código IBGE 2601102); anexo DCA-Anexo I-E; conta TotalDespesas / 28 - Encargos Especiais; coluna Despesas Empenhadas; indicador de seleção despesa_funcao_28. URL: https://apidatalake.tesouro.gov.br/ords/cdwhprd/siconfi/tt/dca?an_exercicio=2021&amp;id_ente=2601102. Arquivo preservado: data/brutos/siconfi_dca_araripina_2021.json.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5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5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6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Empenhadas; indicador de seleção despesa_empenhada_total.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6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Liquidadas; indicador de seleção despesa_liquidada_total.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6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I-D; conta TotalDespesas / Total Geral da Despesa; coluna Despesas Pagas; indicador de seleção despesa_paga_total.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6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6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6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6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6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6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6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7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47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47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47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47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01 - Legislativa; coluna Despesas Empenhadas; indicador de seleção despesa_funcao_01.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7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02 - Judiciária; coluna Despesas Empenhadas; indicador de seleção despesa_funcao_02.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7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04 - Administração; coluna Despesas Empenhadas; indicador de seleção despesa_funcao_04.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7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06 - Segurança Pública; coluna Despesas Empenhadas; indicador de seleção despesa_funcao_06.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7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08 - Assistência Social; coluna Despesas Empenhadas; indicador de seleção despesa_funcao_08.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7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09 - Previdência Social; coluna Despesas Empenhadas; indicador de seleção despesa_funcao_09.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10 - Saúde; coluna Despesas Empenhadas; indicador de seleção despesa_funcao_10.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12 - Educação; coluna Despesas Empenhadas; indicador de seleção despesa_funcao_12.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13 - Cultura; coluna Despesas Empenhadas; indicador de seleção despesa_funcao_13.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3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14 - Direitos da Cidadania; coluna Despesas Empenhadas; indicador de seleção despesa_funcao_14.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4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15 - Urbanismo; coluna Despesas Empenhadas; indicador de seleção despesa_funcao_15.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5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17 - Saneamento; coluna Despesas Empenhadas; indicador de seleção despesa_funcao_17.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6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18 - Gestão Ambiental; coluna Despesas Empenhadas; indicador de seleção despesa_funcao_18.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7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20 - Agricultura; coluna Despesas Empenhadas; indicador de seleção despesa_funcao_20.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8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24 - Comunicações; coluna Despesas Empenhadas; indicador de seleção despesa_funcao_24.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89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25 - Energia; coluna Despesas Empenhadas; indicador de seleção despesa_funcao_25.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0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26 - Transporte; coluna Despesas Empenhadas; indicador de seleção despesa_funcao_26.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1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27 - Desporto e Lazer; coluna Despesas Empenhadas; indicador de seleção despesa_funcao_27.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2" authorId="0">
      <text>
        <r>
          <rPr>
            <sz val="10"/>
            <rFont val="Arial"/>
            <family val="2"/>
          </rPr>
          <t xml:space="preserve">Fonte: Siconfi/STN, API DCA; consulta anual. Exercício 2022; município Araripina/PE (código IBGE 2601102); anexo DCA-Anexo I-E; conta TotalDespesas / 28 - Encargos Especiais; coluna Despesas Empenhadas; indicador de seleção despesa_funcao_28. URL: https://apidatalake.tesouro.gov.br/ords/cdwhprd/siconfi/tt/dca?an_exercicio=2022&amp;id_ente=2601102. Arquivo preservado: data/brutos/siconfi_dca_araripina_2022.json.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49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Empenhadas; indicador de seleção despesa_empenhada_total.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Liquidadas; indicador de seleção despesa_liquidada_total.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I-D; conta TotalDespesas / Total Geral da Despesa; coluna Despesas Pagas; indicador de seleção despesa_paga_total.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49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0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0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0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50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50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50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50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50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50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50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51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01 - Legislativa; coluna Despesas Empenhadas; indicador de seleção despesa_funcao_01.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02 - Judiciária; coluna Despesas Empenhadas; indicador de seleção despesa_funcao_02.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04 - Administração; coluna Despesas Empenhadas; indicador de seleção despesa_funcao_04.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08 - Assistência Social; coluna Despesas Empenhadas; indicador de seleção despesa_funcao_08.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09 - Previdência Social; coluna Despesas Empenhadas; indicador de seleção despesa_funcao_09.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10 - Saúde; coluna Despesas Empenhadas; indicador de seleção despesa_funcao_10.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12 - Educação; coluna Despesas Empenhadas; indicador de seleção despesa_funcao_12.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13 - Cultura; coluna Despesas Empenhadas; indicador de seleção despesa_funcao_13.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8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14 - Direitos da Cidadania; coluna Despesas Empenhadas; indicador de seleção despesa_funcao_14.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19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15 - Urbanismo; coluna Despesas Empenhadas; indicador de seleção despesa_funcao_15.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0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17 - Saneamento; coluna Despesas Empenhadas; indicador de seleção despesa_funcao_17.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1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18 - Gestão Ambiental; coluna Despesas Empenhadas; indicador de seleção despesa_funcao_18.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2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20 - Agricultura; coluna Despesas Empenhadas; indicador de seleção despesa_funcao_20.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3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24 - Comunicações; coluna Despesas Empenhadas; indicador de seleção despesa_funcao_24.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4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25 - Energia; coluna Despesas Empenhadas; indicador de seleção despesa_funcao_25.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5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26 - Transporte; coluna Despesas Empenhadas; indicador de seleção despesa_funcao_26.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6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27 - Desporto e Lazer; coluna Despesas Empenhadas; indicador de seleção despesa_funcao_27.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7" authorId="0">
      <text>
        <r>
          <rPr>
            <sz val="10"/>
            <rFont val="Arial"/>
            <family val="2"/>
          </rPr>
          <t xml:space="preserve">Fonte: Siconfi/STN, API DCA; consulta anual. Exercício 2023; município Araripina/PE (código IBGE 2601102); anexo DCA-Anexo I-E; conta TotalDespesas / 28 - Encargos Especiais; coluna Despesas Empenhadas; indicador de seleção despesa_funcao_28. URL: https://apidatalake.tesouro.gov.br/ords/cdwhprd/siconfi/tt/dca?an_exercicio=2023&amp;id_ente=2601102. Arquivo preservado: data/brutos/siconfi_dca_araripina_2023.json.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2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Receitas Brutas Realizadas; indicador de seleção receita_total_bruta.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2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Deduções - FUNDEB; indicador de seleção deducao_fundeb.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3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TotalReceitas / TOTAL DAS RECEITAS (III) = (I + II); coluna Outras Deduções da Receita; indicador de seleção outras_deducoes.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3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Empenhadas; indicador de seleção despesa_empenhada_total.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3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Liquidadas; indicador de seleção despesa_liquidada_total.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3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I-D; conta TotalDespesas / Total Geral da Despesa; coluna Despesas Pagas; indicador de seleção despesa_paga_total.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3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Empenhadas; indicador de seleção despesa_empenhada_exceto_intra.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3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Liquidadas; indicador de seleção despesa_liquidada_exceto_intra.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3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Despesas Exceto Intraorçamentárias; coluna Despesas Pagas; indicador de seleção despesa_paga_exceto_intra.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18</xdr:rowOff>
              </xdr:to>
            </anchor>
          </commentPr>
        </mc:Choice>
        <mc:Fallback/>
      </mc:AlternateContent>
    </comment>
    <comment ref="M53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ReceitasIntraOrcamentarias / RECEITAS (INTRA-ORÇAMENTÁRIAS) (II); coluna Receitas Brutas Realizadas; indicador de seleção receita_intra_bruta.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53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ReceitasExcetoIntraOrcamentarias / RECEITAS (EXCETO INTRA-ORÇAMENTÁRIAS) (I); coluna Receitas Brutas Realizadas; indicador de seleção receita_exceto_intra_bruta.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53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RO1.1.0.0.00.0.0 / 1.1.0.0.00.0.0 - Impostos, Taxas e Contribuições de Melhoria; coluna Receitas Brutas Realizadas; indicador de seleção receita_tributaria_propria_bruta.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54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RO1.7.0.0.00.0.0 / 1.7.0.0.00.0.0 - Transferências Correntes; coluna Receitas Brutas Realizadas; indicador de seleção transferencias_correntes_total_brutas.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54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RO2.4.0.0.00.0.0 / 2.4.0.0.00.0.0 - Transferências de Capital; coluna Receitas Brutas Realizadas; indicador de seleção transferencias_capital_total_brutas.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18</xdr:row>
                <xdr:rowOff>13</xdr:rowOff>
              </xdr:to>
            </anchor>
          </commentPr>
        </mc:Choice>
        <mc:Fallback/>
      </mc:AlternateContent>
    </comment>
    <comment ref="M54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RO1.7.1.0.00.0.0 / 1.7.1.0.00.0.0 - Transferências da União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54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RO1.7.2.0.00.0.0 / 1.7.2.0.00.0.0 - Transferências dos Estados e do Distrito Federal e de suas Entidades; coluna Receitas Brutas Realizadas; indicador de seleção transferencias_intergov_correntes_proxy.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18</xdr:rowOff>
              </xdr:to>
            </anchor>
          </commentPr>
        </mc:Choice>
        <mc:Fallback/>
      </mc:AlternateContent>
    </comment>
    <comment ref="M54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RO2.4.1.0.00.0.0 / 2.4.1.0.00.0.0 - Transferências da União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19</xdr:row>
                <xdr:rowOff>8</xdr:rowOff>
              </xdr:to>
            </anchor>
          </commentPr>
        </mc:Choice>
        <mc:Fallback/>
      </mc:AlternateContent>
    </comment>
    <comment ref="M54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I-C; conta RO2.4.2.0.00.0.0 / 2.4.2.0.00.0.0 - Transferências dos Estados e do Distrito Federal e de suas Entidades; coluna Receitas Brutas Realizadas; indicador de seleção transferencias_intergov_capital_proxy.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20</xdr:row>
                <xdr:rowOff>3</xdr:rowOff>
              </xdr:to>
            </anchor>
          </commentPr>
        </mc:Choice>
        <mc:Fallback/>
      </mc:AlternateContent>
    </comment>
    <comment ref="M54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01 - Legislativa; coluna Despesas Empenhadas; indicador de seleção despesa_funcao_01.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4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02 - Judiciária; coluna Despesas Empenhadas; indicador de seleção despesa_funcao_02.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4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04 - Administração; coluna Despesas Empenhadas; indicador de seleção despesa_funcao_04.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4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06 - Segurança Pública; coluna Despesas Empenhadas; indicador de seleção despesa_funcao_06.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08 - Assistência Social; coluna Despesas Empenhadas; indicador de seleção despesa_funcao_08.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09 - Previdência Social; coluna Despesas Empenhadas; indicador de seleção despesa_funcao_09.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10 - Saúde; coluna Despesas Empenhadas; indicador de seleção despesa_funcao_10.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12 - Educação; coluna Despesas Empenhadas; indicador de seleção despesa_funcao_12.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13 - Cultura; coluna Despesas Empenhadas; indicador de seleção despesa_funcao_13.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5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14 - Direitos da Cidadania; coluna Despesas Empenhadas; indicador de seleção despesa_funcao_14.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6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15 - Urbanismo; coluna Despesas Empenhadas; indicador de seleção despesa_funcao_15.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7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17 - Saneamento; coluna Despesas Empenhadas; indicador de seleção despesa_funcao_17.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8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18 - Gestão Ambiental; coluna Despesas Empenhadas; indicador de seleção despesa_funcao_18.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59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20 - Agricultura; coluna Despesas Empenhadas; indicador de seleção despesa_funcao_20.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60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24 - Comunicações; coluna Despesas Empenhadas; indicador de seleção despesa_funcao_24.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61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25 - Energia; coluna Despesas Empenhadas; indicador de seleção despesa_funcao_25.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62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26 - Transporte; coluna Despesas Empenhadas; indicador de seleção despesa_funcao_26.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63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27 - Desporto e Lazer; coluna Despesas Empenhadas; indicador de seleção despesa_funcao_27.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  <comment ref="M564" authorId="0">
      <text>
        <r>
          <rPr>
            <sz val="10"/>
            <rFont val="Arial"/>
            <family val="2"/>
          </rPr>
          <t xml:space="preserve">Fonte: Siconfi/STN, API DCA; consulta anual. Exercício 2024; município Araripina/PE (código IBGE 2601102); anexo DCA-Anexo I-E; conta TotalDespesas / 28 - Encargos Especiais; coluna Despesas Empenhadas; indicador de seleção despesa_funcao_28. URL: https://apidatalake.tesouro.gov.br/ords/cdwhprd/siconfi/tt/dca?an_exercicio=2024&amp;id_ente=2601102. Arquivo preservado: data/brutos/siconfi_dca_araripina_2024.json.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17</xdr:row>
                <xdr:rowOff>3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2024; valor/unidade conforme resposta oficial. Arquivo preservado: data/brutos/ibge_pop_estimativas_2015_2024.json. URL: https://apisidra.ibge.gov.br/values/t/6579/n6/2601201,2601102/v/9324/p/2015-2024.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12</xdr:row>
                <xdr:rowOff>13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data/brutos/ibge_censo2022_populacao.json. URL: https://apisidra.ibge.gov.br/values/t/4709/n6/2601201,2601102/v/93/p/2022.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2023; valor/unidade conforme resposta oficial. Arquivo preservado: data/brutos/ibge_pib_municipal_2015_2023.json. URL: https://apisidra.ibge.gov.br/values/t/5938/n6/2601201,2601102/v/37/p/2015-2023.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2015-12;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2016-12;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6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7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2017-12;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8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2018-12;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9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2019-12;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0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2020-12;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1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2021-12;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2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3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2022-12;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4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2023-12;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5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2024-03;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6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2024-04;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7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2024-05;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8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2024-06;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59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2024-07;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60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2024-08;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61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2024-09;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62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2024-10;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63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2024-11;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  <comment ref="L164" authorId="0">
      <text>
        <r>
          <rPr>
            <sz val="10"/>
            <rFont val="Arial"/>
            <family val="2"/>
          </rPr>
          <t xml:space="preserve">Fonte: IBGE/SIDRA; tabela/variável selecionada conforme Série e Variável desta linha. Período 2024-12; valor/unidade conforme resposta oficial. Arquivo preservado: data/brutos/ibge_ipca_mensal_2015_2024.json. URL: https://apisidra.ibge.gov.br/values/t/1737/n1/1/v/2266/p/201501-202412.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11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2015;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2016;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2017;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2018;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2019;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2020;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2021;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2022;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2023;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2024;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ano, year 2025;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2015;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2016;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2017;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2018;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2019;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2020;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2021;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2022;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2023;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2024;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B9, year 2025;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2015;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2016;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2017;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2018;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2019;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2020;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2021;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2022;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2023;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2024;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GD, year 2025;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2015;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2016;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2017;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2018;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2019;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2020;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2021;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2022;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2023;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2024;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Fonte: Eurostat dataset gov_10dd_edpt1, Belgium (BE), annual, sector S13 general government, unit PC_GDP, item S13, year 2025; ESA 2010/EDP metadata. Arquivo preservado: data/brutos/eurostat_gov_10dd_edpt1_be.json. URL: https://ec.europa.eu/eurostat/api/dissemination/statistics/1.0/data/gov_10dd_edpt1?geo=BE. Consulta da base: 2026-10-25.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13</xdr:row>
                <xdr:rowOff>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cadastro oficial Siconfi/IBGE; identificação do município atribuída na P2.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https://apidatalake.tesouro.gov.br/ords/cdwhprd/siconfi/tt/dca?an_exercicio=2015&amp;id_ente=2601201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https://apidatalake.tesouro.gov.br/ords/cdwhprd/siconfi/tt/dca?an_exercicio=2016&amp;id_ente=2601201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exercício fiscal informado na API Siconfi DCA; município Arcoverde/PE;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https://apidatalake.tesouro.gov.br/ords/cdwhprd/siconfi/tt/dca?an_exercicio=2015&amp;id_ente=2601102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https://apidatalake.tesouro.gov.br/ords/cdwhprd/siconfi/tt/dca?an_exercicio=2016&amp;id_ente=2601102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exercício fiscal informado na API Siconfi DCA; município Araripina/PE;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7</xdr:row>
                <xdr:rowOff>19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Fonte: identificação do município na P2; códigos IBGE oficiais documentados em Fontes e Métodos.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Fonte: exercício DCA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Fonte: exercício DCA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Fonte: exercício DCA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Fonte: exercício DCA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Fonte: exercício DCA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Fonte: exercício DCA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Fonte: exercício DCA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Fonte: exercício DCA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5</xdr:row>
                <xdr:rowOff>14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Fonte: DCA-Anexo I-E, conta 06 - Segurança Pública,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Fonte: DCA-Anexo I-E, conta 25 - Energia,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Fonte: DCA-Anexo I-E, conta 11 - Trabalho,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Fonte: DCA-Anexo I-E, conta 19 - Ciência e Tecnologia,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Fonte: DCA-Anexo I-E, conta 06 - Segurança Pública,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Fonte: DCA-Anexo I-E, conta 23 - Comércio e Serviços,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Fonte: DCA-Anexo I-E, conta 06 - Segurança Pública,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Fonte: DCA-Anexo I-E, conta 25 - Energia,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Fonte: DCA-Anexo I-E, conta 25 - Energia,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Fonte: DCA-Anexo I-E, conta 01 - Legislativa,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Fonte: DCA-Anexo I-E, conta 02 - Judiciária,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Fonte: DCA-Anexo I-E, conta 04 - Administração,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Fonte: DCA-Anexo I-E, conta 06 - Segurança Pública,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Fonte: DCA-Anexo I-E, conta 08 - Assistência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Fonte: DCA-Anexo I-E, conta 09 - Previdência Social,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Fonte: DCA-Anexo I-E, conta 10 - Saúde,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Fonte: DCA-Anexo I-E, conta 12 - Educação,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Fonte: DCA-Anexo I-E, conta 13 - 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Fonte: DCA-Anexo I-E, conta 14 - Direitos da Cidadania,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Fonte: DCA-Anexo I-E, conta 15 - Urbanismo,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Fonte: DCA-Anexo I-E, conta 17 - Saneamento,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Fonte: DCA-Anexo I-E, conta 18 - Gestão Ambiental,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Fonte: DCA-Anexo I-E, conta 20 - Agricultura,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Fonte: DCA-Anexo I-E, conta 24 - Comunicações,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Fonte: DCA-Anexo I-E, conta 25 - Energia,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Fonte: DCA-Anexo I-E, conta 26 - Transporte,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Fonte: DCA-Anexo I-E, conta 27 - Desporto e Lazer,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Fonte: DCA-Anexo I-E, conta 28 - Encargos Especiais, função de despesa de primeiro nível.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Fonte: DCA-Anexo I-E, rótulo da função 13;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Fonte: DCA-Anexo I-E, rótulo da função 17;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Fonte: DCA-Anexo I-E, rótulo da função 26;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Fonte: DCA-Anexo I-E, rótulo da função 06;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Fonte: DCA-Anexo I-E, rótulo da função 25;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Fonte: DCA-Anexo I-E, rótulo da função 26;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Fonte: DCA-Anexo I-E, rótulo da função 27;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Fonte: DCA-Anexo I-E, rótulo da função 26;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Fonte: DCA-Anexo I-E, rótulo da função 27;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Fonte: DCA-Anexo I-E, rótulo da função 13;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Fonte: DCA-Anexo I-E, rótulo da função 13;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Fonte: DCA-Anexo I-E, rótulo da função 27;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Fonte: DCA-Anexo I-E, rótulo da função 13;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Fonte: DCA-Anexo I-E, rótulo da função 26;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Fonte: DCA-Anexo I-E, rótulo da função 27;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Fonte: DCA-Anexo I-E, rótulo da função 01;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Fonte: DCA-Anexo I-E, rótulo da função 04;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Fonte: DCA-Anexo I-E, rótulo da função 08;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Fonte: DCA-Anexo I-E, rótulo da função 09;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Fonte: DCA-Anexo I-E, rótulo da função 10;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Fonte: DCA-Anexo I-E, rótulo da função 11;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Fonte: DCA-Anexo I-E, rótulo da função 12;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Fonte: DCA-Anexo I-E, rótulo da função 13;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Fonte: DCA-Anexo I-E, rótulo da função 14;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Fonte: DCA-Anexo I-E, rótulo da função 15;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Fonte: DCA-Anexo I-E, rótulo da função 18;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Fonte: DCA-Anexo I-E, rótulo da função 20;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Fonte: DCA-Anexo I-E, rótulo da função 23;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Fonte: DCA-Anexo I-E, rótulo da função 27;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Fonte: DCA-Anexo I-E, rótulo da função 28; arquivo data/brutos/siconfi_dca_arcoverde_2024.json.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19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Fonte: DCA-Anexo I-E, rótulo da função 19;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Fonte: DCA-Anexo I-E, rótulo da função 23;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data/brutos/siconfi_dca_araripina_2017.json.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Fonte: DCA-Anexo I-E, rótulo da função 06;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data/brutos/siconfi_dca_araripina_2018.json.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Fonte: DCA-Anexo I-E, rótulo da função 23;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data/brutos/siconfi_dca_araripina_2019.json.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data/brutos/siconfi_dca_araripina_2020.json.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data/brutos/siconfi_dca_araripina_2021.json.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Fonte: DCA-Anexo I-E, rótulo da função 06;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Fonte: DCA-Anexo I-E, rótulo da função 14;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Fonte: DCA-Anexo I-E, rótulo da função 25;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data/brutos/siconfi_dca_araripina_2022.json.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Fonte: DCA-Anexo I-E, rótulo da função 14;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Fonte: DCA-Anexo I-E, rótulo da função 25;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data/brutos/siconfi_dca_araripina_2023.json.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Fonte: DCA-Anexo I-E, rótulo da função 01;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Fonte: DCA-Anexo I-E, rótulo da função 02;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Fonte: DCA-Anexo I-E, rótulo da função 04;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Fonte: DCA-Anexo I-E, rótulo da função 06;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Fonte: DCA-Anexo I-E, rótulo da função 08;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Fonte: DCA-Anexo I-E, rótulo da função 09;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Fonte: DCA-Anexo I-E, rótulo da função 10;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Fonte: DCA-Anexo I-E, rótulo da função 12;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Fonte: DCA-Anexo I-E, rótulo da função 13;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Fonte: DCA-Anexo I-E, rótulo da função 14;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Fonte: DCA-Anexo I-E, rótulo da função 15;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Fonte: DCA-Anexo I-E, rótulo da função 17;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Fonte: DCA-Anexo I-E, rótulo da função 18;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Fonte: DCA-Anexo I-E, rótulo da função 20;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Fonte: DCA-Anexo I-E, rótulo da função 24;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Fonte: DCA-Anexo I-E, rótulo da função 25;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Fonte: DCA-Anexo I-E, rótulo da função 26;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Fonte: DCA-Anexo I-E, rótulo da função 27;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Fonte: DCA-Anexo I-E, rótulo da função 28; arquivo data/brutos/siconfi_dca_araripina_2024.json.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4</xdr:row>
                <xdr:rowOff>4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https://apidatalake.tesouro.gov.br/ords/cdwhprd/siconfi/tt/dca?an_exercicio=2024&amp;id_ente=2601201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Fonte: Siconfi DCA municipal do exercício 2017; https://apidatalake.tesouro.gov.br/ords/cdwhprd/siconfi/tt/dca?an_exercicio=2017&amp;id_ente=2601102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Fonte: Siconfi DCA municipal do exercício 2018; https://apidatalake.tesouro.gov.br/ords/cdwhprd/siconfi/tt/dca?an_exercicio=2018&amp;id_ente=2601102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Fonte: Siconfi DCA municipal do exercício 2019; https://apidatalake.tesouro.gov.br/ords/cdwhprd/siconfi/tt/dca?an_exercicio=2019&amp;id_ente=2601102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Fonte: Siconfi DCA municipal do exercício 2020; https://apidatalake.tesouro.gov.br/ords/cdwhprd/siconfi/tt/dca?an_exercicio=2020&amp;id_ente=2601102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5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6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7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8" authorId="0">
      <text>
        <r>
          <rPr>
            <sz val="10"/>
            <rFont val="Arial"/>
            <family val="2"/>
          </rPr>
          <t xml:space="preserve">Fonte: Siconfi DCA municipal do exercício 2021; https://apidatalake.tesouro.gov.br/ords/cdwhprd/siconfi/tt/dca?an_exercicio=2021&amp;id_ente=2601102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09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0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1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2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3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4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5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6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7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8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19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0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1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2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3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4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5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6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7" authorId="0">
      <text>
        <r>
          <rPr>
            <sz val="10"/>
            <rFont val="Arial"/>
            <family val="2"/>
          </rPr>
          <t xml:space="preserve">Fonte: Siconfi DCA municipal do exercício 2022; https://apidatalake.tesouro.gov.br/ords/cdwhprd/siconfi/tt/dca?an_exercicio=2022&amp;id_ente=2601102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8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29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0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1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2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3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4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5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6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7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8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39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0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1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2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3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4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5" authorId="0">
      <text>
        <r>
          <rPr>
            <sz val="10"/>
            <rFont val="Arial"/>
            <family val="2"/>
          </rPr>
          <t xml:space="preserve">Fonte: Siconfi DCA municipal do exercício 2023; https://apidatalake.tesouro.gov.br/ords/cdwhprd/siconfi/tt/dca?an_exercicio=2023&amp;id_ente=2601102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6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7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8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49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0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1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2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3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4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5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6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7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8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59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60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61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62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63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  <comment ref="J264" authorId="0">
      <text>
        <r>
          <rPr>
            <sz val="10"/>
            <rFont val="Arial"/>
            <family val="2"/>
          </rPr>
          <t xml:space="preserve">Fonte: Siconfi DCA municipal do exercício 2024; https://apidatalake.tesouro.gov.br/ords/cdwhprd/siconfi/tt/dca?an_exercicio=2024&amp;id_ente=2601102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55</xdr:colOff>
                <xdr:row>6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<sst xmlns="http://schemas.openxmlformats.org/spreadsheetml/2006/main" count="6739" uniqueCount="348">
  <si>
    <t xml:space="preserve">Resumo analítico</t>
  </si>
  <si>
    <t xml:space="preserve">Valores derivados por fórmulas; indicadores de Brasil municipal e Bélgica permanecem em níveis institucionais distintos.</t>
  </si>
  <si>
    <t xml:space="preserve">Consulte unidade por linha. R$ correntes e R$ médios de 2024 não são intercambiáveis.</t>
  </si>
  <si>
    <t xml:space="preserve">Indicador</t>
  </si>
  <si>
    <t xml:space="preserve">Unidade</t>
  </si>
  <si>
    <t xml:space="preserve">Arcoverde/PE</t>
  </si>
  <si>
    <t xml:space="preserve">Araripina/PE</t>
  </si>
  <si>
    <t xml:space="preserve">Bélgica</t>
  </si>
  <si>
    <t xml:space="preserve">Receita bruta reportada — 2024</t>
  </si>
  <si>
    <t xml:space="preserve">R$ correntes</t>
  </si>
  <si>
    <t xml:space="preserve">—</t>
  </si>
  <si>
    <t xml:space="preserve">Despesa empenhada total — 2024</t>
  </si>
  <si>
    <t xml:space="preserve">Receita bruta real — 2024</t>
  </si>
  <si>
    <t xml:space="preserve">R$ médios de 2024</t>
  </si>
  <si>
    <t xml:space="preserve">Despesa empenhada real — 2024</t>
  </si>
  <si>
    <t xml:space="preserve">Crescimento real da receita, 2015–2024</t>
  </si>
  <si>
    <t xml:space="preserve">% acumulado</t>
  </si>
  <si>
    <t xml:space="preserve">não aplicável</t>
  </si>
  <si>
    <t xml:space="preserve">Crescimento real da despesa empenhada, 2015–2024</t>
  </si>
  <si>
    <t xml:space="preserve">Receita tributária / receita bruta — 2024</t>
  </si>
  <si>
    <t xml:space="preserve">%</t>
  </si>
  <si>
    <t xml:space="preserve">Transferências correntes / receita bruta — 2024</t>
  </si>
  <si>
    <t xml:space="preserve">Receita bruta real per capita — 2024</t>
  </si>
  <si>
    <t xml:space="preserve">R$ 2024/habitante</t>
  </si>
  <si>
    <t xml:space="preserve">Despesa empenhada real per capita — 2024</t>
  </si>
  <si>
    <t xml:space="preserve">População — 2024</t>
  </si>
  <si>
    <t xml:space="preserve">pessoas</t>
  </si>
  <si>
    <t xml:space="preserve">PIB municipal — 2023</t>
  </si>
  <si>
    <t xml:space="preserve">Saldo de financiamento líquido — 2025</t>
  </si>
  <si>
    <t xml:space="preserve">% do PIB</t>
  </si>
  <si>
    <t xml:space="preserve">Dívida bruta consolidada — 2025</t>
  </si>
  <si>
    <t xml:space="preserve">Nota: não se calcula superávit/déficit municipal a partir de receita bruta e despesa empenhada sem harmonização completa das deduções; PIB municipal termina em 2023 e população anual falta em 2023.</t>
  </si>
  <si>
    <t xml:space="preserve">Dados-fonte — Siconfi DCA</t>
  </si>
  <si>
    <t xml:space="preserve">Linhas selecionadas para construir os indicadores municipais; não some indicadores distintos.</t>
  </si>
  <si>
    <t xml:space="preserve">R$ correntes; manter separadas receitas brutas, deduções e estágios da despesa.</t>
  </si>
  <si>
    <t xml:space="preserve">Município</t>
  </si>
  <si>
    <t xml:space="preserve">Código IBGE</t>
  </si>
  <si>
    <t xml:space="preserve">Ano</t>
  </si>
  <si>
    <t xml:space="preserve">Arquivo de origem</t>
  </si>
  <si>
    <t xml:space="preserve">Anexo</t>
  </si>
  <si>
    <t xml:space="preserve">Código da conta</t>
  </si>
  <si>
    <t xml:space="preserve">Conta</t>
  </si>
  <si>
    <t xml:space="preserve">Coluna contábil</t>
  </si>
  <si>
    <t xml:space="preserve">Valor (R$ correntes)</t>
  </si>
  <si>
    <t xml:space="preserve">Rótulo do quadro</t>
  </si>
  <si>
    <t xml:space="preserve">receita_total_bruta</t>
  </si>
  <si>
    <t xml:space="preserve">siconfi_dca_arcoverde_2015.json</t>
  </si>
  <si>
    <t xml:space="preserve">DCA-Anexo I-C</t>
  </si>
  <si>
    <t xml:space="preserve">TotalReceitas</t>
  </si>
  <si>
    <t xml:space="preserve">Total Receitas</t>
  </si>
  <si>
    <t xml:space="preserve">Receitas Brutas Realizadas</t>
  </si>
  <si>
    <t xml:space="preserve">deducao_fundeb</t>
  </si>
  <si>
    <t xml:space="preserve">Deduções - FUNDEB</t>
  </si>
  <si>
    <t xml:space="preserve">despesa_empenhada_total</t>
  </si>
  <si>
    <t xml:space="preserve">DCA-Anexo I-D</t>
  </si>
  <si>
    <t xml:space="preserve">TotalDespesas</t>
  </si>
  <si>
    <t xml:space="preserve">Total Geral da Despesa</t>
  </si>
  <si>
    <t xml:space="preserve">Despesas Empenhadas</t>
  </si>
  <si>
    <t xml:space="preserve">despesa_liquidada_total</t>
  </si>
  <si>
    <t xml:space="preserve">Despesas Liquidadas</t>
  </si>
  <si>
    <t xml:space="preserve">despesa_paga_total</t>
  </si>
  <si>
    <t xml:space="preserve">Despesas Pagas</t>
  </si>
  <si>
    <t xml:space="preserve">receita_tributaria_propria_bruta</t>
  </si>
  <si>
    <t xml:space="preserve">RO1.1.0.0.00.00.00</t>
  </si>
  <si>
    <t xml:space="preserve">1.1.0.0.00.00.00 - Receita Tributária</t>
  </si>
  <si>
    <t xml:space="preserve">transferencias_correntes_total_brutas</t>
  </si>
  <si>
    <t xml:space="preserve">RO1.7.0.0.00.00.00</t>
  </si>
  <si>
    <t xml:space="preserve">1.7.0.0.00.00.00 - Transferências Correntes</t>
  </si>
  <si>
    <t xml:space="preserve">transferencias_capital_total_brutas</t>
  </si>
  <si>
    <t xml:space="preserve">RO2.4.0.0.00.00.00</t>
  </si>
  <si>
    <t xml:space="preserve">2.4.0.0.00.00.00 - Transferências de Capital</t>
  </si>
  <si>
    <t xml:space="preserve">transferencias_intergov_correntes_proxy</t>
  </si>
  <si>
    <t xml:space="preserve">RO1.7.2.0.00.00.00</t>
  </si>
  <si>
    <t xml:space="preserve">1.7.2.0.00.00.00 - Transferências Intergovernamentais</t>
  </si>
  <si>
    <t xml:space="preserve">transferencias_intergov_capital_proxy</t>
  </si>
  <si>
    <t xml:space="preserve">RO2.4.2.0.00.00.00</t>
  </si>
  <si>
    <t xml:space="preserve">2.4.2.0.00.00.00 - Transferências Intergovernamentais</t>
  </si>
  <si>
    <t xml:space="preserve">siconfi_dca_arcoverde_2016.json</t>
  </si>
  <si>
    <t xml:space="preserve">siconfi_dca_arcoverde_2017.json</t>
  </si>
  <si>
    <t xml:space="preserve">Padrão</t>
  </si>
  <si>
    <t xml:space="preserve">despesa_empenhada_exceto_intra</t>
  </si>
  <si>
    <t xml:space="preserve">DCA-Anexo I-E</t>
  </si>
  <si>
    <t xml:space="preserve">Despesas Exceto Intraorçamentárias</t>
  </si>
  <si>
    <t xml:space="preserve">Total Geral da Despesa por Função</t>
  </si>
  <si>
    <t xml:space="preserve">despesa_liquidada_exceto_intra</t>
  </si>
  <si>
    <t xml:space="preserve">despesa_paga_exceto_intra</t>
  </si>
  <si>
    <t xml:space="preserve">despesa_funcao_01</t>
  </si>
  <si>
    <t xml:space="preserve">01 - Legislativa</t>
  </si>
  <si>
    <t xml:space="preserve">despesa_funcao_04</t>
  </si>
  <si>
    <t xml:space="preserve">04 - Administração</t>
  </si>
  <si>
    <t xml:space="preserve">despesa_funcao_08</t>
  </si>
  <si>
    <t xml:space="preserve">08 - Assistência Social</t>
  </si>
  <si>
    <t xml:space="preserve">despesa_funcao_09</t>
  </si>
  <si>
    <t xml:space="preserve">09 - Previdência Social</t>
  </si>
  <si>
    <t xml:space="preserve">despesa_funcao_10</t>
  </si>
  <si>
    <t xml:space="preserve">10 - Saúde</t>
  </si>
  <si>
    <t xml:space="preserve">despesa_funcao_11</t>
  </si>
  <si>
    <t xml:space="preserve">11 - Trabalho</t>
  </si>
  <si>
    <t xml:space="preserve">despesa_funcao_12</t>
  </si>
  <si>
    <t xml:space="preserve">12 - Educação</t>
  </si>
  <si>
    <t xml:space="preserve">despesa_funcao_13</t>
  </si>
  <si>
    <t xml:space="preserve">13 - Cultura</t>
  </si>
  <si>
    <t xml:space="preserve">despesa_funcao_15</t>
  </si>
  <si>
    <t xml:space="preserve">15 - Urbanismo</t>
  </si>
  <si>
    <t xml:space="preserve">despesa_funcao_17</t>
  </si>
  <si>
    <t xml:space="preserve">17 - Saneamento</t>
  </si>
  <si>
    <t xml:space="preserve">despesa_funcao_18</t>
  </si>
  <si>
    <t xml:space="preserve">18 - Gestão Ambiental</t>
  </si>
  <si>
    <t xml:space="preserve">despesa_funcao_20</t>
  </si>
  <si>
    <t xml:space="preserve">20 - Agricultura</t>
  </si>
  <si>
    <t xml:space="preserve">despesa_funcao_23</t>
  </si>
  <si>
    <t xml:space="preserve">23 - Comércio e Serviços</t>
  </si>
  <si>
    <t xml:space="preserve">despesa_funcao_26</t>
  </si>
  <si>
    <t xml:space="preserve">26 - Transporte</t>
  </si>
  <si>
    <t xml:space="preserve">despesa_funcao_28</t>
  </si>
  <si>
    <t xml:space="preserve">28 - Encargos Especiais</t>
  </si>
  <si>
    <t xml:space="preserve">siconfi_dca_arcoverde_2018.json</t>
  </si>
  <si>
    <t xml:space="preserve">RO1.1.0.0.00.0.0</t>
  </si>
  <si>
    <t xml:space="preserve">1.1.0.0.00.0.0 - Impostos, Taxas e Contribuições de Melhoria</t>
  </si>
  <si>
    <t xml:space="preserve">RO1.7.0.0.00.0.0</t>
  </si>
  <si>
    <t xml:space="preserve">1.7.0.0.00.0.0 - Transferências Correntes</t>
  </si>
  <si>
    <t xml:space="preserve">RO2.4.0.0.00.0.0</t>
  </si>
  <si>
    <t xml:space="preserve">2.4.0.0.00.0.0 - Transferências de Capital</t>
  </si>
  <si>
    <t xml:space="preserve">RO1.7.1.0.00.0.0</t>
  </si>
  <si>
    <t xml:space="preserve">1.7.1.0.00.0.0 - Transferências da União e de suas Entidades</t>
  </si>
  <si>
    <t xml:space="preserve">RO1.7.2.0.00.0.0</t>
  </si>
  <si>
    <t xml:space="preserve">1.7.2.0.00.0.0 - Transferências dos Estados e do Distrito Federal e de suas Entidades</t>
  </si>
  <si>
    <t xml:space="preserve">RO2.4.1.0.00.0.0</t>
  </si>
  <si>
    <t xml:space="preserve">2.4.1.0.00.0.0 - Transferências da União e de suas Entidades</t>
  </si>
  <si>
    <t xml:space="preserve">RO2.4.2.0.00.0.0</t>
  </si>
  <si>
    <t xml:space="preserve">2.4.2.0.00.0.0 - Transferências dos Estados e do Distrito Federal e de suas Entidades</t>
  </si>
  <si>
    <t xml:space="preserve">despesa_funcao_06</t>
  </si>
  <si>
    <t xml:space="preserve">06 - Segurança Pública</t>
  </si>
  <si>
    <t xml:space="preserve">despesa_funcao_14</t>
  </si>
  <si>
    <t xml:space="preserve">14 - Direitos da Cidadania</t>
  </si>
  <si>
    <t xml:space="preserve">despesa_funcao_25</t>
  </si>
  <si>
    <t xml:space="preserve">25 - Energia</t>
  </si>
  <si>
    <t xml:space="preserve">despesa_funcao_27</t>
  </si>
  <si>
    <t xml:space="preserve">27 - Desporto e Lazer</t>
  </si>
  <si>
    <t xml:space="preserve">siconfi_dca_arcoverde_2019.json</t>
  </si>
  <si>
    <t xml:space="preserve">TOTAL DAS RECEITAS (III) = (I + II)</t>
  </si>
  <si>
    <t xml:space="preserve">receita_intra_bruta</t>
  </si>
  <si>
    <t xml:space="preserve">ReceitasIntraOrcamentarias</t>
  </si>
  <si>
    <t xml:space="preserve">RECEITAS (INTRA-ORÇAMENTÁRIAS) (II)</t>
  </si>
  <si>
    <t xml:space="preserve">receita_exceto_intra_bruta</t>
  </si>
  <si>
    <t xml:space="preserve">ReceitasExcetoIntraOrcamentarias</t>
  </si>
  <si>
    <t xml:space="preserve">RECEITAS (EXCETO INTRA-ORÇAMENTÁRIAS) (I)</t>
  </si>
  <si>
    <t xml:space="preserve">siconfi_dca_arcoverde_2020.json</t>
  </si>
  <si>
    <t xml:space="preserve">siconfi_dca_arcoverde_2021.json</t>
  </si>
  <si>
    <t xml:space="preserve">siconfi_dca_arcoverde_2022.json</t>
  </si>
  <si>
    <t xml:space="preserve">outras_deducoes</t>
  </si>
  <si>
    <t xml:space="preserve">Outras Deduções da Receita</t>
  </si>
  <si>
    <t xml:space="preserve">siconfi_dca_arcoverde_2023.json</t>
  </si>
  <si>
    <t xml:space="preserve">siconfi_dca_arcoverde_2024.json</t>
  </si>
  <si>
    <t xml:space="preserve">siconfi_dca_araripina_2015.json</t>
  </si>
  <si>
    <t xml:space="preserve">siconfi_dca_araripina_2016.json</t>
  </si>
  <si>
    <t xml:space="preserve">siconfi_dca_araripina_2017.json</t>
  </si>
  <si>
    <t xml:space="preserve">despesa_funcao_02</t>
  </si>
  <si>
    <t xml:space="preserve">02 - Judiciária</t>
  </si>
  <si>
    <t xml:space="preserve">despesa_funcao_19</t>
  </si>
  <si>
    <t xml:space="preserve">19 - Ciência e Tecnologia</t>
  </si>
  <si>
    <t xml:space="preserve">siconfi_dca_araripina_2018.json</t>
  </si>
  <si>
    <t xml:space="preserve">despesa_funcao_24</t>
  </si>
  <si>
    <t xml:space="preserve">24 - Comunicações</t>
  </si>
  <si>
    <t xml:space="preserve">siconfi_dca_araripina_2019.json</t>
  </si>
  <si>
    <t xml:space="preserve">siconfi_dca_araripina_2020.json</t>
  </si>
  <si>
    <t xml:space="preserve">siconfi_dca_araripina_2021.json</t>
  </si>
  <si>
    <t xml:space="preserve">siconfi_dca_araripina_2022.json</t>
  </si>
  <si>
    <t xml:space="preserve">siconfi_dca_araripina_2023.json</t>
  </si>
  <si>
    <t xml:space="preserve">siconfi_dca_araripina_2024.json</t>
  </si>
  <si>
    <t xml:space="preserve">Dados-fonte — IBGE/SIDRA</t>
  </si>
  <si>
    <t xml:space="preserve">População, PIB municipal e IPCA mensal em formato longo.</t>
  </si>
  <si>
    <t xml:space="preserve">População: pessoas; PIB: mil R$ correntes; IPCA: número-índice nacional.</t>
  </si>
  <si>
    <t xml:space="preserve">Mês</t>
  </si>
  <si>
    <t xml:space="preserve">Série</t>
  </si>
  <si>
    <t xml:space="preserve">Variável</t>
  </si>
  <si>
    <t xml:space="preserve">Valor</t>
  </si>
  <si>
    <t xml:space="preserve">URL consultada</t>
  </si>
  <si>
    <t xml:space="preserve">2601201</t>
  </si>
  <si>
    <t xml:space="preserve">pop_estimada</t>
  </si>
  <si>
    <t xml:space="preserve">População residente estimada</t>
  </si>
  <si>
    <t xml:space="preserve">Pessoas</t>
  </si>
  <si>
    <t xml:space="preserve">ibge_pop_estimativas_2015_2024.json</t>
  </si>
  <si>
    <t xml:space="preserve">https://apisidra.ibge.gov.br/values/t/6579/n6/2601201,2601102/v/9324/p/2015-2024</t>
  </si>
  <si>
    <t xml:space="preserve">2601102</t>
  </si>
  <si>
    <t xml:space="preserve">pop_censo</t>
  </si>
  <si>
    <t xml:space="preserve">População residente</t>
  </si>
  <si>
    <t xml:space="preserve">ibge_censo2022_populacao.json</t>
  </si>
  <si>
    <t xml:space="preserve">https://apisidra.ibge.gov.br/values/t/4709/n6/2601201,2601102/v/93/p/2022</t>
  </si>
  <si>
    <t xml:space="preserve">pib</t>
  </si>
  <si>
    <t xml:space="preserve">Produto Interno Bruto a preços correntes</t>
  </si>
  <si>
    <t xml:space="preserve">Mil Reais</t>
  </si>
  <si>
    <t xml:space="preserve">ibge_pib_municipal_2015_2023.json</t>
  </si>
  <si>
    <t xml:space="preserve">https://apisidra.ibge.gov.br/values/t/5938/n6/2601201,2601102/v/37/p/2015-2023</t>
  </si>
  <si>
    <t xml:space="preserve">Brasil</t>
  </si>
  <si>
    <t xml:space="preserve">1</t>
  </si>
  <si>
    <t xml:space="preserve">ipca</t>
  </si>
  <si>
    <t xml:space="preserve">IPCA - Número-índice (base: dezembro de 1993 = 100)</t>
  </si>
  <si>
    <t xml:space="preserve">Número-índice</t>
  </si>
  <si>
    <t xml:space="preserve">ibge_ipca_mensal_2015_2024.json</t>
  </si>
  <si>
    <t xml:space="preserve">https://apisidra.ibge.gov.br/values/t/1737/n1/1/v/2266/p/201501-202412</t>
  </si>
  <si>
    <t xml:space="preserve">Bélgica — governo geral</t>
  </si>
  <si>
    <t xml:space="preserve">Eurostat gov_10dd_edpt1; não equiparar a contas municipais brasileiras.</t>
  </si>
  <si>
    <t xml:space="preserve">% do PIB; saldo negativo = necessidade líquida de financiamento; dívida é estoque consolidado.</t>
  </si>
  <si>
    <t xml:space="preserve">Saldo de financiamento líquido / PIB</t>
  </si>
  <si>
    <t xml:space="preserve">Dívida bruta consolidada / PIB</t>
  </si>
  <si>
    <t xml:space="preserve">Setor institucional</t>
  </si>
  <si>
    <t xml:space="preserve">S13 — Governo geral</t>
  </si>
  <si>
    <t xml:space="preserve">Série municipal — fórmulas</t>
  </si>
  <si>
    <t xml:space="preserve">Linhas anuais; fórmulas ligam cada indicador às fontes brutas e explicitam a cobertura.</t>
  </si>
  <si>
    <t xml:space="preserve">R$ correntes ou R$ médios de 2024 conforme coluna; população em pessoas; razões em %.</t>
  </si>
  <si>
    <t xml:space="preserve">Receita bruta reportada</t>
  </si>
  <si>
    <t xml:space="preserve">Dedução FUNDEB</t>
  </si>
  <si>
    <t xml:space="preserve">Outras deduções reportadas</t>
  </si>
  <si>
    <t xml:space="preserve">Receita líquida após deduções reportadas</t>
  </si>
  <si>
    <t xml:space="preserve">Despesa empenhada total</t>
  </si>
  <si>
    <t xml:space="preserve">Despesa liquidada total</t>
  </si>
  <si>
    <t xml:space="preserve">Despesa paga total</t>
  </si>
  <si>
    <t xml:space="preserve">Despesa empenhada exceto intra</t>
  </si>
  <si>
    <t xml:space="preserve">Despesa intra residual</t>
  </si>
  <si>
    <t xml:space="preserve">Receita tributária própria</t>
  </si>
  <si>
    <t xml:space="preserve">Transferências correntes totais</t>
  </si>
  <si>
    <t xml:space="preserve">Proxy transferências intergovernamentais correntes</t>
  </si>
  <si>
    <t xml:space="preserve">População</t>
  </si>
  <si>
    <t xml:space="preserve">PIB municipal</t>
  </si>
  <si>
    <t xml:space="preserve">IPCA média anual</t>
  </si>
  <si>
    <t xml:space="preserve">Fator deflator 2024</t>
  </si>
  <si>
    <t xml:space="preserve">Receita bruta real</t>
  </si>
  <si>
    <t xml:space="preserve">Despesa empenhada real</t>
  </si>
  <si>
    <t xml:space="preserve">Receita real per capita</t>
  </si>
  <si>
    <t xml:space="preserve">Despesa real per capita</t>
  </si>
  <si>
    <t xml:space="preserve">Receita tributária / receita bruta</t>
  </si>
  <si>
    <t xml:space="preserve">Transferências correntes / receita bruta</t>
  </si>
  <si>
    <t xml:space="preserve">Receita bruta / PIB</t>
  </si>
  <si>
    <t xml:space="preserve">Despesa empenhada / PIB</t>
  </si>
  <si>
    <t xml:space="preserve">Receita exceto intra</t>
  </si>
  <si>
    <t xml:space="preserve">Receita intra</t>
  </si>
  <si>
    <t xml:space="preserve">Despesa empenhada por função</t>
  </si>
  <si>
    <t xml:space="preserve">Funções de primeiro nível; seleção sem soma simultânea de conta-pai e filhas.</t>
  </si>
  <si>
    <t xml:space="preserve">R$ correntes e R$ médios de 2024; participação sobre o total empenhado exceto intra.</t>
  </si>
  <si>
    <t xml:space="preserve">Código da função</t>
  </si>
  <si>
    <t xml:space="preserve">Função</t>
  </si>
  <si>
    <t xml:space="preserve">Despesa empenhada exceto intra nominal</t>
  </si>
  <si>
    <t xml:space="preserve">Despesa em reais médios de 2024</t>
  </si>
  <si>
    <t xml:space="preserve">Participação na despesa funcional</t>
  </si>
  <si>
    <t xml:space="preserve">Arquivo DCA</t>
  </si>
  <si>
    <t xml:space="preserve">01</t>
  </si>
  <si>
    <t xml:space="preserve">Legislativa</t>
  </si>
  <si>
    <t xml:space="preserve">04</t>
  </si>
  <si>
    <t xml:space="preserve">Administração</t>
  </si>
  <si>
    <t xml:space="preserve">08</t>
  </si>
  <si>
    <t xml:space="preserve">Assistência Social</t>
  </si>
  <si>
    <t xml:space="preserve">09</t>
  </si>
  <si>
    <t xml:space="preserve">Previdência Social</t>
  </si>
  <si>
    <t xml:space="preserve">10</t>
  </si>
  <si>
    <t xml:space="preserve">Saúde</t>
  </si>
  <si>
    <t xml:space="preserve">11</t>
  </si>
  <si>
    <t xml:space="preserve">Trabalho</t>
  </si>
  <si>
    <t xml:space="preserve">12</t>
  </si>
  <si>
    <t xml:space="preserve">Educação</t>
  </si>
  <si>
    <t xml:space="preserve">13</t>
  </si>
  <si>
    <t xml:space="preserve">Cultura</t>
  </si>
  <si>
    <t xml:space="preserve">15</t>
  </si>
  <si>
    <t xml:space="preserve">Urbanismo</t>
  </si>
  <si>
    <t xml:space="preserve">17</t>
  </si>
  <si>
    <t xml:space="preserve">Saneamento</t>
  </si>
  <si>
    <t xml:space="preserve">18</t>
  </si>
  <si>
    <t xml:space="preserve">Gestão Ambiental</t>
  </si>
  <si>
    <t xml:space="preserve">20</t>
  </si>
  <si>
    <t xml:space="preserve">Agricultura</t>
  </si>
  <si>
    <t xml:space="preserve">23</t>
  </si>
  <si>
    <t xml:space="preserve">Comércio e Serviços</t>
  </si>
  <si>
    <t xml:space="preserve">26</t>
  </si>
  <si>
    <t xml:space="preserve">Transporte</t>
  </si>
  <si>
    <t xml:space="preserve">28</t>
  </si>
  <si>
    <t xml:space="preserve">Encargos Especiais</t>
  </si>
  <si>
    <t xml:space="preserve">06</t>
  </si>
  <si>
    <t xml:space="preserve">Segurança Pública</t>
  </si>
  <si>
    <t xml:space="preserve">14</t>
  </si>
  <si>
    <t xml:space="preserve">Direitos da Cidadania</t>
  </si>
  <si>
    <t xml:space="preserve">25</t>
  </si>
  <si>
    <t xml:space="preserve">Energia</t>
  </si>
  <si>
    <t xml:space="preserve">27</t>
  </si>
  <si>
    <t xml:space="preserve">Desporto e Lazer</t>
  </si>
  <si>
    <t xml:space="preserve">02</t>
  </si>
  <si>
    <t xml:space="preserve">Judiciária</t>
  </si>
  <si>
    <t xml:space="preserve">19</t>
  </si>
  <si>
    <t xml:space="preserve">Ciência e Tecnologia</t>
  </si>
  <si>
    <t xml:space="preserve">24</t>
  </si>
  <si>
    <t xml:space="preserve">Comunicações</t>
  </si>
  <si>
    <t xml:space="preserve">Fontes e métodos</t>
  </si>
  <si>
    <t xml:space="preserve">Definições de medição, cobertura, transformação e limitações incorporadas à planilha.</t>
  </si>
  <si>
    <t xml:space="preserve">Consulte os arquivos JSON/CSV originais em data/brutos e os scripts em scripts/.</t>
  </si>
  <si>
    <t xml:space="preserve">Tópico</t>
  </si>
  <si>
    <t xml:space="preserve">Definição, critério ou fonte</t>
  </si>
  <si>
    <t xml:space="preserve">Siconfi/STN DCA</t>
  </si>
  <si>
    <t xml:space="preserve">Contas anuais municipais — consulta DCA por exercício e código IBGE; 20 respostas JSON em data/brutos. https://apidatalake.tesouro.gov.br/docs/siconfi/</t>
  </si>
  <si>
    <t xml:space="preserve">Receita</t>
  </si>
  <si>
    <t xml:space="preserve">Total bruto reportado; FUNDEB/outros descontos registrados em campos separados. Líquido após deduções reportadas não é necessariamente líquido completo quando outra dedução não aparece.</t>
  </si>
  <si>
    <t xml:space="preserve">Despesa</t>
  </si>
  <si>
    <t xml:space="preserve">Empenhada, liquidada e paga são estágios distintos; as séries não são misturadas. Valor total e valor exceto intra aparecem separadamente.</t>
  </si>
  <si>
    <t xml:space="preserve">Transferências</t>
  </si>
  <si>
    <t xml:space="preserve">Transferências correntes totais são uma rubrica ampla. Proxy intergovernamental mantém quebra de classificação: agregado antigo 2015–2017; contas de União + Estados de primeiro nível a partir de 2018.</t>
  </si>
  <si>
    <t xml:space="preserve">Tributação própria</t>
  </si>
  <si>
    <t xml:space="preserve">Receitas tributárias municipais brutas conforme código selecionado no DCA; proporção dividida por receita bruta total reportada.</t>
  </si>
  <si>
    <t xml:space="preserve">IBGE/SIDRA população</t>
  </si>
  <si>
    <t xml:space="preserve">Tabela 6579, variável 9324, estimativa de referência 1º de julho; 2022 substituída pelo Censo 2022, tabela 4709, variável 93. Faltam estimativas na série extraída em 2023.</t>
  </si>
  <si>
    <t xml:space="preserve">IBGE/SIDRA PIB</t>
  </si>
  <si>
    <t xml:space="preserve">Tabela 5938, variável 37, PIB municipal a preços correntes, unidade mil R$; multiplicar por 1.000 para R$. Cobertura 2015–2023; sem valor de 2024.</t>
  </si>
  <si>
    <t xml:space="preserve">IBGE/SIDRA IPCA</t>
  </si>
  <si>
    <t xml:space="preserve">Tabela 1737, variável 2266, número-índice mensal Brasil; fator t = média mensal de 2024 / média mensal do ano t; real de 2024 = nominal × fator.</t>
  </si>
  <si>
    <t xml:space="preserve">Eurostat</t>
  </si>
  <si>
    <t xml:space="preserve">gov_10dd_edpt1; Belgium (BE), annual, sector S13 General government, unit PC_GDP; B9 net lending/borrowing e GD consolidated gross debt. https://ec.europa.eu/eurostat/databrowser/product/view/gov_10dd_edpt1</t>
  </si>
  <si>
    <t xml:space="preserve">Ausências</t>
  </si>
  <si>
    <t xml:space="preserve">Valor ausente permanece vazio; não se converte ausência em zero. Série funcional está disponível de 2017 a 2024; 2015–2016 não aparecem nos quadros funcionais recuperados.</t>
  </si>
  <si>
    <t xml:space="preserve">Unidades institucionais</t>
  </si>
  <si>
    <t xml:space="preserve">Bélgica: governo geral nacional, ESA 2010; Brasil: municípios. PIB/percentuais são indicadores de escala, não equivalência de competências ou regime fiscal.</t>
  </si>
  <si>
    <t xml:space="preserve">Data da coleta</t>
  </si>
  <si>
    <t xml:space="preserve">2026-10-25</t>
  </si>
  <si>
    <t xml:space="preserve">Validação automática</t>
  </si>
  <si>
    <t xml:space="preserve">Testes executados contra dados tratados e observações de cobertura.</t>
  </si>
  <si>
    <t xml:space="preserve">Ver scripts/validacao.py e data/tratados/relatorio_validacao.txt.</t>
  </si>
  <si>
    <t xml:space="preserve">Verificação</t>
  </si>
  <si>
    <t xml:space="preserve">Resultado</t>
  </si>
  <si>
    <t xml:space="preserve">Controle 1</t>
  </si>
  <si>
    <t xml:space="preserve">VALIDAÇÃO DA BASE — PASS</t>
  </si>
  <si>
    <t xml:space="preserve">Controle 2</t>
  </si>
  <si>
    <t xml:space="preserve">Observações municipais: 20; 10 anos × 2 municípios.</t>
  </si>
  <si>
    <t xml:space="preserve">Controle 3</t>
  </si>
  <si>
    <t xml:space="preserve">Dados fiscais essenciais completos: 20/20.</t>
  </si>
  <si>
    <t xml:space="preserve">Controle 4</t>
  </si>
  <si>
    <t xml:space="preserve">População disponível: 18/20; 2023 permanece ausente; 2022 usa Censo.</t>
  </si>
  <si>
    <t xml:space="preserve">Controle 5</t>
  </si>
  <si>
    <t xml:space="preserve">PIB disponível: 18/20; 2024 permanece ausente.</t>
  </si>
  <si>
    <t xml:space="preserve">Controle 6</t>
  </si>
  <si>
    <t xml:space="preserve">IPCA: 12 meses por ano em 2015–2024; sem imputação.</t>
  </si>
  <si>
    <t xml:space="preserve">Controle 7</t>
  </si>
  <si>
    <t xml:space="preserve">Despesas totais e componentes intra/extra reconciliados dentro de R$ 0,02.</t>
  </si>
  <si>
    <t xml:space="preserve">Controle 8</t>
  </si>
  <si>
    <t xml:space="preserve">Receitas intra/extra reconciliadas em 2019–2024 dentro de R$ 0,02.</t>
  </si>
  <si>
    <t xml:space="preserve">Controle 9</t>
  </si>
  <si>
    <t xml:space="preserve">Conta-pai/filha: nenhuma dupla contagem dentro do indicador selecionado.</t>
  </si>
  <si>
    <t xml:space="preserve">Controle 10</t>
  </si>
  <si>
    <t xml:space="preserve">Despesas funcionais: 256 linhas; 2017–2024; soma das funções de primeiro nível reconcilia com despesa empenhada exceto intra.</t>
  </si>
  <si>
    <t xml:space="preserve">Controle 11</t>
  </si>
  <si>
    <t xml:space="preserve">Eurostat: 2015–2025; 2025 = déficit -5,2% e dívida bruta 108,1% do PIB.</t>
  </si>
  <si>
    <t xml:space="preserve">Controle 12</t>
  </si>
  <si>
    <t xml:space="preserve">Deduções não exibidas na fonte permanecem em branco; o saldo derivado é rotulado como baseado nas deduções reportadas.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</si>
</sst>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"/>
    <numFmt numFmtId="167" formatCode="0"/>
    <numFmt numFmtId="168" formatCode="0.0;\(0.0\);\-"/>
    <numFmt numFmtId="169" formatCode="#,##0;\(#,##0\);\-"/>
    <numFmt numFmtId="170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b val="true"/>
      <sz val="10"/>
      <color rgb="FFFFFFFF"/>
      <name val="Aptos Display"/>
      <family val="0"/>
      <charset val="1"/>
    </font>
    <font>
      <b val="true"/>
      <sz val="11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0"/>
      <color rgb="FF008000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ptos"/>
      <family val="0"/>
      <charset val="1"/>
    </font>
    <font>
      <sz val="10"/>
      <name val="Arial"/>
      <family val="2"/>
    </font>
    <font>
      <sz val="10"/>
      <color rgb="FF000000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5B44"/>
        <bgColor rgb="FF145A75"/>
      </patternFill>
    </fill>
    <fill>
      <patternFill patternType="solid">
        <fgColor rgb="FFCFE9E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FE9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6734D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45A75"/>
      <rgbColor rgb="FF0000FF"/>
      <rgbColor rgb="FF00CCFF"/>
      <rgbColor rgb="FFCCFFFF"/>
      <rgbColor rgb="FFCF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C5AA7"/>
      <rgbColor rgb="FFA6A6A6"/>
      <rgbColor rgb="FF135B44"/>
      <rgbColor rgb="FF339966"/>
      <rgbColor rgb="FF003300"/>
      <rgbColor rgb="FF333300"/>
      <rgbColor rgb="FFB65C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Fluxos fiscais reais (R$ médios de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"Receita real — Arcoverde/PE"</c:f>
              <c:strCache>
                <c:ptCount val="1"/>
                <c:pt idx="0">
                  <c:v>Receita real — Arcoverde/PE</c:v>
                </c:pt>
              </c:strCache>
            </c:strRef>
          </c:tx>
          <c:spPr>
            <a:solidFill>
              <a:srgbClr val="145a75"/>
            </a:solidFill>
            <a:ln w="21960">
              <a:solidFill>
                <a:srgbClr val="145a7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'Cálculos Municipais'!$D$9:$D$18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'Cálculos Municipais'!$U$9:$U$18</c:f>
              <c:numCache>
                <c:formatCode>#,##0.00;\(#,##0.00\);\-</c:formatCode>
                <c:ptCount val="10"/>
                <c:pt idx="0">
                  <c:v>210116980.648042</c:v>
                </c:pt>
                <c:pt idx="1">
                  <c:v>216881813.406462</c:v>
                </c:pt>
                <c:pt idx="2">
                  <c:v>211213559.106948</c:v>
                </c:pt>
                <c:pt idx="3">
                  <c:v>217795295.204829</c:v>
                </c:pt>
                <c:pt idx="4">
                  <c:v>234453614.369263</c:v>
                </c:pt>
                <c:pt idx="5">
                  <c:v>251066864.708929</c:v>
                </c:pt>
                <c:pt idx="6">
                  <c:v>257689686.836978</c:v>
                </c:pt>
                <c:pt idx="7">
                  <c:v>282057976.891395</c:v>
                </c:pt>
                <c:pt idx="8">
                  <c:v>292861727.723281</c:v>
                </c:pt>
                <c:pt idx="9">
                  <c:v>338825647.94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"Despesa real — Arcoverde/PE"</c:f>
              <c:strCache>
                <c:ptCount val="1"/>
                <c:pt idx="0">
                  <c:v>Despesa real — Arcoverde/PE</c:v>
                </c:pt>
              </c:strCache>
            </c:strRef>
          </c:tx>
          <c:spPr>
            <a:solidFill>
              <a:srgbClr val="26734d"/>
            </a:solidFill>
            <a:ln w="21960">
              <a:solidFill>
                <a:srgbClr val="2673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'Cálculos Municipais'!$D$9:$D$18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'Cálculos Municipais'!$V$9:$V$18</c:f>
              <c:numCache>
                <c:formatCode>#,##0.00;\(#,##0.00\);\-</c:formatCode>
                <c:ptCount val="10"/>
                <c:pt idx="0">
                  <c:v>203203451.715812</c:v>
                </c:pt>
                <c:pt idx="1">
                  <c:v>206003458.20426</c:v>
                </c:pt>
                <c:pt idx="2">
                  <c:v>200849478.659093</c:v>
                </c:pt>
                <c:pt idx="3">
                  <c:v>206219292.920398</c:v>
                </c:pt>
                <c:pt idx="4">
                  <c:v>214919261.820615</c:v>
                </c:pt>
                <c:pt idx="5">
                  <c:v>251759445.232962</c:v>
                </c:pt>
                <c:pt idx="6">
                  <c:v>238013624.89249</c:v>
                </c:pt>
                <c:pt idx="7">
                  <c:v>259867742.657533</c:v>
                </c:pt>
                <c:pt idx="8">
                  <c:v>281238195.357188</c:v>
                </c:pt>
                <c:pt idx="9">
                  <c:v>317259552.36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"Receita real — Araripina/PE"</c:f>
              <c:strCache>
                <c:ptCount val="1"/>
                <c:pt idx="0">
                  <c:v>Receita real — Araripina/PE</c:v>
                </c:pt>
              </c:strCache>
            </c:strRef>
          </c:tx>
          <c:spPr>
            <a:solidFill>
              <a:srgbClr val="b65c2e"/>
            </a:solidFill>
            <a:ln w="21960">
              <a:solidFill>
                <a:srgbClr val="b65c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'Cálculos Municipais'!$D$9:$D$18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'Cálculos Municipais'!$U$19:$U$28</c:f>
              <c:numCache>
                <c:formatCode>#,##0.00;\(#,##0.00\);\-</c:formatCode>
                <c:ptCount val="10"/>
                <c:pt idx="0">
                  <c:v>241120527.137396</c:v>
                </c:pt>
                <c:pt idx="1">
                  <c:v>226965891.718551</c:v>
                </c:pt>
                <c:pt idx="2">
                  <c:v>232278620.655409</c:v>
                </c:pt>
                <c:pt idx="3">
                  <c:v>255373239.497686</c:v>
                </c:pt>
                <c:pt idx="4">
                  <c:v>248322590.607861</c:v>
                </c:pt>
                <c:pt idx="5">
                  <c:v>276774784.097452</c:v>
                </c:pt>
                <c:pt idx="6">
                  <c:v>279130654.903607</c:v>
                </c:pt>
                <c:pt idx="7">
                  <c:v>317796612.745764</c:v>
                </c:pt>
                <c:pt idx="8">
                  <c:v>367209493.74851</c:v>
                </c:pt>
                <c:pt idx="9">
                  <c:v>406750338.2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"Despesa real — Araripina/PE"</c:f>
              <c:strCache>
                <c:ptCount val="1"/>
                <c:pt idx="0">
                  <c:v>Despesa real — Araripina/PE</c:v>
                </c:pt>
              </c:strCache>
            </c:strRef>
          </c:tx>
          <c:spPr>
            <a:solidFill>
              <a:srgbClr val="8c5aa7"/>
            </a:solidFill>
            <a:ln w="21960">
              <a:solidFill>
                <a:srgbClr val="8c5a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'Cálculos Municipais'!$D$9:$D$18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'Cálculos Municipais'!$V$19:$V$28</c:f>
              <c:numCache>
                <c:formatCode>#,##0.00;\(#,##0.00\);\-</c:formatCode>
                <c:ptCount val="10"/>
                <c:pt idx="0">
                  <c:v>227186649.829034</c:v>
                </c:pt>
                <c:pt idx="1">
                  <c:v>214430791.347577</c:v>
                </c:pt>
                <c:pt idx="2">
                  <c:v>222101689.021339</c:v>
                </c:pt>
                <c:pt idx="3">
                  <c:v>240528411.030597</c:v>
                </c:pt>
                <c:pt idx="4">
                  <c:v>236246503.50609</c:v>
                </c:pt>
                <c:pt idx="5">
                  <c:v>253181313.42202</c:v>
                </c:pt>
                <c:pt idx="6">
                  <c:v>248125354.788496</c:v>
                </c:pt>
                <c:pt idx="7">
                  <c:v>292527913.34528</c:v>
                </c:pt>
                <c:pt idx="8">
                  <c:v>316908574.965004</c:v>
                </c:pt>
                <c:pt idx="9">
                  <c:v>399934864.27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142605"/>
        <c:axId val="44409186"/>
      </c:lineChart>
      <c:catAx>
        <c:axId val="381426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09186"/>
        <c:crosses val="autoZero"/>
        <c:auto val="1"/>
        <c:lblAlgn val="ctr"/>
        <c:lblOffset val="100"/>
        <c:noMultiLvlLbl val="0"/>
      </c:catAx>
      <c:valAx>
        <c:axId val="4440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426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25</xdr:row>
      <xdr:rowOff>130680</xdr:rowOff>
    </xdr:from>
    <xdr:to>
      <xdr:col>3</xdr:col>
      <xdr:colOff>1199160</xdr:colOff>
      <xdr:row>39</xdr:row>
      <xdr:rowOff>163440</xdr:rowOff>
    </xdr:to>
    <xdr:graphicFrame>
      <xdr:nvGraphicFramePr>
        <xdr:cNvPr id="0" name="Chart 1"/>
        <xdr:cNvGraphicFramePr/>
      </xdr:nvGraphicFramePr>
      <xdr:xfrm>
        <a:off x="3200400" y="53816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G2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8"/>
    <col collapsed="false" customWidth="true" hidden="false" outlineLevel="0" max="4" min="4" style="0" width="19"/>
    <col collapsed="false" customWidth="true" hidden="false" outlineLevel="0" max="6" min="5" style="0" width="48"/>
    <col collapsed="false" customWidth="true" hidden="false" outlineLevel="0" max="7" min="7" style="0" width="16"/>
  </cols>
  <sheetData>
    <row r="3" customFormat="false" ht="19.7" hidden="false" customHeight="false" outlineLevel="0" collapsed="false">
      <c r="C3" s="1" t="s">
        <v>0</v>
      </c>
      <c r="D3" s="2"/>
      <c r="E3" s="2"/>
      <c r="F3" s="2"/>
      <c r="G3" s="2"/>
    </row>
    <row r="5" customFormat="false" ht="15" hidden="false" customHeight="false" outlineLevel="0" collapsed="false">
      <c r="C5" s="3" t="s">
        <v>1</v>
      </c>
    </row>
    <row r="6" customFormat="false" ht="15" hidden="false" customHeight="false" outlineLevel="0" collapsed="false">
      <c r="C6" s="4" t="s">
        <v>2</v>
      </c>
    </row>
    <row r="8" customFormat="false" ht="33.75" hidden="false" customHeight="true" outlineLevel="0" collapsed="false"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</row>
    <row r="9" customFormat="false" ht="15" hidden="false" customHeight="false" outlineLevel="0" collapsed="false">
      <c r="C9" s="0" t="s">
        <v>8</v>
      </c>
      <c r="D9" s="0" t="s">
        <v>9</v>
      </c>
      <c r="E9" s="6" t="n">
        <f aca="false">SUMIFS('Cálculos Municipais'!$E$9:$E$28,'Cálculos Municipais'!$C$9:$C$28,"Arcoverde/PE",'Cálculos Municipais'!$D$9:$D$28,2024)</f>
        <v>338825647.94</v>
      </c>
      <c r="F9" s="6" t="n">
        <f aca="false">SUMIFS('Cálculos Municipais'!$E$9:$E$28,'Cálculos Municipais'!$C$9:$C$28,"Araripina/PE",'Cálculos Municipais'!$D$9:$D$28,2024)</f>
        <v>406750338.2</v>
      </c>
      <c r="G9" s="7" t="s">
        <v>10</v>
      </c>
    </row>
    <row r="10" customFormat="false" ht="15" hidden="false" customHeight="false" outlineLevel="0" collapsed="false">
      <c r="C10" s="0" t="s">
        <v>11</v>
      </c>
      <c r="D10" s="0" t="s">
        <v>9</v>
      </c>
      <c r="E10" s="6" t="n">
        <f aca="false">SUMIFS('Cálculos Municipais'!$I$9:$I$28,'Cálculos Municipais'!$C$9:$C$28,"Arcoverde/PE",'Cálculos Municipais'!$D$9:$D$28,2024)</f>
        <v>317259552.36</v>
      </c>
      <c r="F10" s="6" t="n">
        <f aca="false">SUMIFS('Cálculos Municipais'!$I$9:$I$28,'Cálculos Municipais'!$C$9:$C$28,"Araripina/PE",'Cálculos Municipais'!$D$9:$D$28,2024)</f>
        <v>399934864.27</v>
      </c>
      <c r="G10" s="7" t="s">
        <v>10</v>
      </c>
    </row>
    <row r="11" customFormat="false" ht="15" hidden="false" customHeight="false" outlineLevel="0" collapsed="false">
      <c r="C11" s="0" t="s">
        <v>12</v>
      </c>
      <c r="D11" s="0" t="s">
        <v>13</v>
      </c>
      <c r="E11" s="6" t="n">
        <f aca="false">SUMIFS('Cálculos Municipais'!$U$9:$U$28,'Cálculos Municipais'!$C$9:$C$28,"Arcoverde/PE",'Cálculos Municipais'!$D$9:$D$28,2024)</f>
        <v>338825647.94</v>
      </c>
      <c r="F11" s="6" t="n">
        <f aca="false">SUMIFS('Cálculos Municipais'!$U$9:$U$28,'Cálculos Municipais'!$C$9:$C$28,"Araripina/PE",'Cálculos Municipais'!$D$9:$D$28,2024)</f>
        <v>406750338.2</v>
      </c>
      <c r="G11" s="7" t="s">
        <v>10</v>
      </c>
    </row>
    <row r="12" customFormat="false" ht="15" hidden="false" customHeight="false" outlineLevel="0" collapsed="false">
      <c r="C12" s="0" t="s">
        <v>14</v>
      </c>
      <c r="D12" s="0" t="s">
        <v>13</v>
      </c>
      <c r="E12" s="6" t="n">
        <f aca="false">SUMIFS('Cálculos Municipais'!$V$9:$V$28,'Cálculos Municipais'!$C$9:$C$28,"Arcoverde/PE",'Cálculos Municipais'!$D$9:$D$28,2024)</f>
        <v>317259552.36</v>
      </c>
      <c r="F12" s="6" t="n">
        <f aca="false">SUMIFS('Cálculos Municipais'!$V$9:$V$28,'Cálculos Municipais'!$C$9:$C$28,"Araripina/PE",'Cálculos Municipais'!$D$9:$D$28,2024)</f>
        <v>399934864.27</v>
      </c>
      <c r="G12" s="7" t="s">
        <v>10</v>
      </c>
    </row>
    <row r="13" customFormat="false" ht="15" hidden="false" customHeight="false" outlineLevel="0" collapsed="false">
      <c r="C13" s="0" t="s">
        <v>15</v>
      </c>
      <c r="D13" s="0" t="s">
        <v>16</v>
      </c>
      <c r="E13" s="8" t="n">
        <f aca="false">IFERROR(SUMIFS('Cálculos Municipais'!$U$9:$U$28,'Cálculos Municipais'!$C$9:$C$28,"Arcoverde/PE",'Cálculos Municipais'!$D$9:$D$28,2024)/SUMIFS('Cálculos Municipais'!$U$9:$U$28,'Cálculos Municipais'!$C$9:$C$28,"Arcoverde/PE",'Cálculos Municipais'!$D$9:$D$28,2015)-1,"")</f>
        <v>0.61255719026133</v>
      </c>
      <c r="F13" s="8" t="n">
        <f aca="false">IFERROR(SUMIFS('Cálculos Municipais'!$U$9:$U$28,'Cálculos Municipais'!$C$9:$C$28,"Araripina/PE",'Cálculos Municipais'!$D$9:$D$28,2024)/SUMIFS('Cálculos Municipais'!$U$9:$U$28,'Cálculos Municipais'!$C$9:$C$28,"Araripina/PE",'Cálculos Municipais'!$D$9:$D$28,2015)-1,"")</f>
        <v>0.686917090921191</v>
      </c>
      <c r="G13" s="7" t="s">
        <v>17</v>
      </c>
    </row>
    <row r="14" customFormat="false" ht="15" hidden="false" customHeight="false" outlineLevel="0" collapsed="false">
      <c r="C14" s="0" t="s">
        <v>18</v>
      </c>
      <c r="D14" s="0" t="s">
        <v>16</v>
      </c>
      <c r="E14" s="8" t="n">
        <f aca="false">IFERROR(SUMIFS('Cálculos Municipais'!$V$9:$V$28,'Cálculos Municipais'!$C$9:$C$28,"Arcoverde/PE",'Cálculos Municipais'!$D$9:$D$28,2024)/SUMIFS('Cálculos Municipais'!$V$9:$V$28,'Cálculos Municipais'!$C$9:$C$28,"Arcoverde/PE",'Cálculos Municipais'!$D$9:$D$28,2015)-1,"")</f>
        <v>0.561290173376091</v>
      </c>
      <c r="F14" s="8" t="n">
        <f aca="false">IFERROR(SUMIFS('Cálculos Municipais'!$V$9:$V$28,'Cálculos Municipais'!$C$9:$C$28,"Araripina/PE",'Cálculos Municipais'!$D$9:$D$28,2024)/SUMIFS('Cálculos Municipais'!$V$9:$V$28,'Cálculos Municipais'!$C$9:$C$28,"Araripina/PE",'Cálculos Municipais'!$D$9:$D$28,2015)-1,"")</f>
        <v>0.760380130482866</v>
      </c>
      <c r="G14" s="7" t="s">
        <v>17</v>
      </c>
    </row>
    <row r="15" customFormat="false" ht="15" hidden="false" customHeight="false" outlineLevel="0" collapsed="false">
      <c r="C15" s="0" t="s">
        <v>19</v>
      </c>
      <c r="D15" s="0" t="s">
        <v>20</v>
      </c>
      <c r="E15" s="8" t="n">
        <f aca="false">SUMIFS('Cálculos Municipais'!$Y$9:$Y$28,'Cálculos Municipais'!$C$9:$C$28,"Arcoverde/PE",'Cálculos Municipais'!$D$9:$D$28,2024)</f>
        <v>0.102900559482363</v>
      </c>
      <c r="F15" s="8" t="n">
        <f aca="false">SUMIFS('Cálculos Municipais'!$Y$9:$Y$28,'Cálculos Municipais'!$C$9:$C$28,"Araripina/PE",'Cálculos Municipais'!$D$9:$D$28,2024)</f>
        <v>0.0641882361193326</v>
      </c>
      <c r="G15" s="7" t="s">
        <v>10</v>
      </c>
    </row>
    <row r="16" customFormat="false" ht="15" hidden="false" customHeight="false" outlineLevel="0" collapsed="false">
      <c r="C16" s="0" t="s">
        <v>21</v>
      </c>
      <c r="D16" s="0" t="s">
        <v>20</v>
      </c>
      <c r="E16" s="8" t="n">
        <f aca="false">SUMIFS('Cálculos Municipais'!$Z$9:$Z$28,'Cálculos Municipais'!$C$9:$C$28,"Arcoverde/PE",'Cálculos Municipais'!$D$9:$D$28,2024)</f>
        <v>0.750049204495295</v>
      </c>
      <c r="F16" s="8" t="n">
        <f aca="false">SUMIFS('Cálculos Municipais'!$Z$9:$Z$28,'Cálculos Municipais'!$C$9:$C$28,"Araripina/PE",'Cálculos Municipais'!$D$9:$D$28,2024)</f>
        <v>0.734621518625697</v>
      </c>
      <c r="G16" s="7" t="s">
        <v>10</v>
      </c>
    </row>
    <row r="17" customFormat="false" ht="15" hidden="false" customHeight="false" outlineLevel="0" collapsed="false">
      <c r="C17" s="0" t="s">
        <v>22</v>
      </c>
      <c r="D17" s="0" t="s">
        <v>23</v>
      </c>
      <c r="E17" s="6" t="n">
        <f aca="false">SUMIFS('Cálculos Municipais'!$W$9:$W$28,'Cálculos Municipais'!$C$9:$C$28,"Arcoverde/PE",'Cálculos Municipais'!$D$9:$D$28,2024)</f>
        <v>4131.86893089277</v>
      </c>
      <c r="F17" s="6" t="n">
        <f aca="false">SUMIFS('Cálculos Municipais'!$W$9:$W$28,'Cálculos Municipais'!$C$9:$C$28,"Araripina/PE",'Cálculos Municipais'!$D$9:$D$28,2024)</f>
        <v>4514.23175663678</v>
      </c>
      <c r="G17" s="7" t="s">
        <v>10</v>
      </c>
    </row>
    <row r="18" customFormat="false" ht="15" hidden="false" customHeight="false" outlineLevel="0" collapsed="false">
      <c r="C18" s="0" t="s">
        <v>24</v>
      </c>
      <c r="D18" s="0" t="s">
        <v>23</v>
      </c>
      <c r="E18" s="6" t="n">
        <f aca="false">SUMIFS('Cálculos Municipais'!$X$9:$X$28,'Cálculos Municipais'!$C$9:$C$28,"Arcoverde/PE",'Cálculos Municipais'!$D$9:$D$28,2024)</f>
        <v>3868.87738692487</v>
      </c>
      <c r="F18" s="6" t="n">
        <f aca="false">SUMIFS('Cálculos Municipais'!$X$9:$X$28,'Cálculos Municipais'!$C$9:$C$28,"Araripina/PE",'Cálculos Municipais'!$D$9:$D$28,2024)</f>
        <v>4438.5916748424</v>
      </c>
      <c r="G18" s="7" t="s">
        <v>10</v>
      </c>
    </row>
    <row r="19" customFormat="false" ht="15" hidden="false" customHeight="false" outlineLevel="0" collapsed="false">
      <c r="C19" s="0" t="s">
        <v>25</v>
      </c>
      <c r="D19" s="0" t="s">
        <v>26</v>
      </c>
      <c r="E19" s="9" t="n">
        <f aca="false">SUMIFS('Cálculos Municipais'!$Q$9:$Q$28,'Cálculos Municipais'!$C$9:$C$28,"Arcoverde/PE",'Cálculos Municipais'!$D$9:$D$28,2024)</f>
        <v>82003</v>
      </c>
      <c r="F19" s="9" t="n">
        <f aca="false">SUMIFS('Cálculos Municipais'!$Q$9:$Q$28,'Cálculos Municipais'!$C$9:$C$28,"Araripina/PE",'Cálculos Municipais'!$D$9:$D$28,2024)</f>
        <v>90104</v>
      </c>
      <c r="G19" s="7" t="s">
        <v>10</v>
      </c>
    </row>
    <row r="20" customFormat="false" ht="15" hidden="false" customHeight="false" outlineLevel="0" collapsed="false">
      <c r="C20" s="0" t="s">
        <v>27</v>
      </c>
      <c r="D20" s="0" t="s">
        <v>9</v>
      </c>
      <c r="E20" s="6" t="n">
        <f aca="false">SUMIFS('Cálculos Municipais'!$R$9:$R$28,'Cálculos Municipais'!$C$9:$C$28,"Arcoverde/PE",'Cálculos Municipais'!$D$9:$D$28,2023)</f>
        <v>1503621000</v>
      </c>
      <c r="F20" s="6" t="n">
        <f aca="false">SUMIFS('Cálculos Municipais'!$R$9:$R$28,'Cálculos Municipais'!$C$9:$C$28,"Araripina/PE",'Cálculos Municipais'!$D$9:$D$28,2023)</f>
        <v>1777713000</v>
      </c>
      <c r="G20" s="7" t="s">
        <v>10</v>
      </c>
    </row>
    <row r="21" customFormat="false" ht="15" hidden="false" customHeight="false" outlineLevel="0" collapsed="false">
      <c r="C21" s="0" t="s">
        <v>28</v>
      </c>
      <c r="D21" s="0" t="s">
        <v>29</v>
      </c>
      <c r="G21" s="10" t="n">
        <f aca="false">Bélgica!D19</f>
        <v>-5.2</v>
      </c>
    </row>
    <row r="22" customFormat="false" ht="15" hidden="false" customHeight="false" outlineLevel="0" collapsed="false">
      <c r="C22" s="0" t="s">
        <v>30</v>
      </c>
      <c r="D22" s="0" t="s">
        <v>29</v>
      </c>
      <c r="G22" s="10" t="n">
        <f aca="false">Bélgica!E19</f>
        <v>108.1</v>
      </c>
    </row>
    <row r="24" customFormat="false" ht="30" hidden="false" customHeight="true" outlineLevel="0" collapsed="false">
      <c r="C24" s="11" t="s">
        <v>31</v>
      </c>
      <c r="D24" s="11"/>
      <c r="E24" s="11"/>
      <c r="F24" s="11"/>
      <c r="G24" s="11"/>
    </row>
    <row r="25" customFormat="false" ht="15" hidden="false" customHeight="false" outlineLevel="0" collapsed="false">
      <c r="C25" s="11"/>
      <c r="D25" s="11"/>
      <c r="E25" s="11"/>
      <c r="F25" s="11"/>
      <c r="G25" s="11"/>
    </row>
  </sheetData>
  <autoFilter ref="C8:G23"/>
  <mergeCells count="1">
    <mergeCell ref="C24:G25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M56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1"/>
    <col collapsed="false" customWidth="true" hidden="false" outlineLevel="0" max="7" min="7" style="0" width="33"/>
    <col collapsed="false" customWidth="true" hidden="false" outlineLevel="0" max="8" min="8" style="0" width="15"/>
    <col collapsed="false" customWidth="true" hidden="false" outlineLevel="0" max="9" min="9" style="0" width="34"/>
    <col collapsed="false" customWidth="true" hidden="false" outlineLevel="0" max="10" min="10" style="0" width="48"/>
    <col collapsed="false" customWidth="true" hidden="false" outlineLevel="0" max="11" min="11" style="0" width="28"/>
    <col collapsed="false" customWidth="true" hidden="false" outlineLevel="0" max="12" min="12" style="0" width="22"/>
    <col collapsed="false" customWidth="true" hidden="false" outlineLevel="0" max="13" min="13" style="0" width="35"/>
  </cols>
  <sheetData>
    <row r="3" customFormat="false" ht="19.7" hidden="false" customHeight="false" outlineLevel="0" collapsed="false">
      <c r="C3" s="1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false" outlineLevel="0" collapsed="false">
      <c r="C5" s="3" t="s">
        <v>33</v>
      </c>
    </row>
    <row r="6" customFormat="false" ht="15" hidden="false" customHeight="false" outlineLevel="0" collapsed="false">
      <c r="C6" s="4" t="s">
        <v>34</v>
      </c>
    </row>
    <row r="8" customFormat="false" ht="33.75" hidden="false" customHeight="true" outlineLevel="0" collapsed="false">
      <c r="C8" s="5" t="s">
        <v>35</v>
      </c>
      <c r="D8" s="5" t="s">
        <v>36</v>
      </c>
      <c r="E8" s="5" t="s">
        <v>37</v>
      </c>
      <c r="F8" s="5" t="s">
        <v>3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  <c r="M8" s="5" t="s">
        <v>44</v>
      </c>
    </row>
    <row r="9" customFormat="false" ht="15" hidden="false" customHeight="false" outlineLevel="0" collapsed="false">
      <c r="C9" s="12" t="s">
        <v>5</v>
      </c>
      <c r="D9" s="13" t="n">
        <v>2601201</v>
      </c>
      <c r="E9" s="13" t="n">
        <v>2015</v>
      </c>
      <c r="F9" s="12" t="s">
        <v>45</v>
      </c>
      <c r="G9" s="12" t="s">
        <v>46</v>
      </c>
      <c r="H9" s="12" t="s">
        <v>47</v>
      </c>
      <c r="I9" s="12" t="s">
        <v>48</v>
      </c>
      <c r="J9" s="12" t="s">
        <v>49</v>
      </c>
      <c r="K9" s="12" t="s">
        <v>50</v>
      </c>
      <c r="L9" s="14" t="n">
        <v>130267501.81</v>
      </c>
      <c r="M9" s="12"/>
    </row>
    <row r="10" customFormat="false" ht="15" hidden="false" customHeight="false" outlineLevel="0" collapsed="false">
      <c r="C10" s="12" t="s">
        <v>5</v>
      </c>
      <c r="D10" s="13" t="n">
        <v>2601201</v>
      </c>
      <c r="E10" s="13" t="n">
        <v>2015</v>
      </c>
      <c r="F10" s="12" t="s">
        <v>51</v>
      </c>
      <c r="G10" s="12" t="s">
        <v>46</v>
      </c>
      <c r="H10" s="12" t="s">
        <v>47</v>
      </c>
      <c r="I10" s="12" t="s">
        <v>48</v>
      </c>
      <c r="J10" s="12" t="s">
        <v>49</v>
      </c>
      <c r="K10" s="12" t="s">
        <v>52</v>
      </c>
      <c r="L10" s="14" t="n">
        <v>-10228661.03</v>
      </c>
      <c r="M10" s="12"/>
    </row>
    <row r="11" customFormat="false" ht="15" hidden="false" customHeight="false" outlineLevel="0" collapsed="false">
      <c r="C11" s="12" t="s">
        <v>5</v>
      </c>
      <c r="D11" s="13" t="n">
        <v>2601201</v>
      </c>
      <c r="E11" s="13" t="n">
        <v>2015</v>
      </c>
      <c r="F11" s="12" t="s">
        <v>53</v>
      </c>
      <c r="G11" s="12" t="s">
        <v>46</v>
      </c>
      <c r="H11" s="12" t="s">
        <v>54</v>
      </c>
      <c r="I11" s="12" t="s">
        <v>55</v>
      </c>
      <c r="J11" s="12" t="s">
        <v>56</v>
      </c>
      <c r="K11" s="12" t="s">
        <v>57</v>
      </c>
      <c r="L11" s="14" t="n">
        <v>125981279.25</v>
      </c>
      <c r="M11" s="12"/>
    </row>
    <row r="12" customFormat="false" ht="15" hidden="false" customHeight="false" outlineLevel="0" collapsed="false">
      <c r="C12" s="12" t="s">
        <v>5</v>
      </c>
      <c r="D12" s="13" t="n">
        <v>2601201</v>
      </c>
      <c r="E12" s="13" t="n">
        <v>2015</v>
      </c>
      <c r="F12" s="12" t="s">
        <v>58</v>
      </c>
      <c r="G12" s="12" t="s">
        <v>46</v>
      </c>
      <c r="H12" s="12" t="s">
        <v>54</v>
      </c>
      <c r="I12" s="12" t="s">
        <v>55</v>
      </c>
      <c r="J12" s="12" t="s">
        <v>56</v>
      </c>
      <c r="K12" s="12" t="s">
        <v>59</v>
      </c>
      <c r="L12" s="14" t="n">
        <v>125981279.25</v>
      </c>
      <c r="M12" s="12"/>
    </row>
    <row r="13" customFormat="false" ht="15" hidden="false" customHeight="false" outlineLevel="0" collapsed="false">
      <c r="C13" s="12" t="s">
        <v>5</v>
      </c>
      <c r="D13" s="13" t="n">
        <v>2601201</v>
      </c>
      <c r="E13" s="13" t="n">
        <v>2015</v>
      </c>
      <c r="F13" s="12" t="s">
        <v>60</v>
      </c>
      <c r="G13" s="12" t="s">
        <v>46</v>
      </c>
      <c r="H13" s="12" t="s">
        <v>54</v>
      </c>
      <c r="I13" s="12" t="s">
        <v>55</v>
      </c>
      <c r="J13" s="12" t="s">
        <v>56</v>
      </c>
      <c r="K13" s="12" t="s">
        <v>61</v>
      </c>
      <c r="L13" s="14" t="n">
        <v>120285435.77</v>
      </c>
      <c r="M13" s="12"/>
    </row>
    <row r="14" customFormat="false" ht="15" hidden="false" customHeight="false" outlineLevel="0" collapsed="false">
      <c r="C14" s="12" t="s">
        <v>5</v>
      </c>
      <c r="D14" s="13" t="n">
        <v>2601201</v>
      </c>
      <c r="E14" s="13" t="n">
        <v>2015</v>
      </c>
      <c r="F14" s="12" t="s">
        <v>62</v>
      </c>
      <c r="G14" s="12" t="s">
        <v>46</v>
      </c>
      <c r="H14" s="12" t="s">
        <v>47</v>
      </c>
      <c r="I14" s="12" t="s">
        <v>63</v>
      </c>
      <c r="J14" s="12" t="s">
        <v>64</v>
      </c>
      <c r="K14" s="12" t="s">
        <v>50</v>
      </c>
      <c r="L14" s="14" t="n">
        <v>11525465.63</v>
      </c>
      <c r="M14" s="12"/>
    </row>
    <row r="15" customFormat="false" ht="15" hidden="false" customHeight="false" outlineLevel="0" collapsed="false">
      <c r="C15" s="12" t="s">
        <v>5</v>
      </c>
      <c r="D15" s="13" t="n">
        <v>2601201</v>
      </c>
      <c r="E15" s="13" t="n">
        <v>2015</v>
      </c>
      <c r="F15" s="12" t="s">
        <v>65</v>
      </c>
      <c r="G15" s="12" t="s">
        <v>46</v>
      </c>
      <c r="H15" s="12" t="s">
        <v>47</v>
      </c>
      <c r="I15" s="12" t="s">
        <v>66</v>
      </c>
      <c r="J15" s="12" t="s">
        <v>67</v>
      </c>
      <c r="K15" s="12" t="s">
        <v>50</v>
      </c>
      <c r="L15" s="14" t="n">
        <v>95184421.51</v>
      </c>
      <c r="M15" s="12"/>
    </row>
    <row r="16" customFormat="false" ht="15" hidden="false" customHeight="false" outlineLevel="0" collapsed="false">
      <c r="C16" s="12" t="s">
        <v>5</v>
      </c>
      <c r="D16" s="13" t="n">
        <v>2601201</v>
      </c>
      <c r="E16" s="13" t="n">
        <v>2015</v>
      </c>
      <c r="F16" s="12" t="s">
        <v>68</v>
      </c>
      <c r="G16" s="12" t="s">
        <v>46</v>
      </c>
      <c r="H16" s="12" t="s">
        <v>47</v>
      </c>
      <c r="I16" s="12" t="s">
        <v>69</v>
      </c>
      <c r="J16" s="12" t="s">
        <v>70</v>
      </c>
      <c r="K16" s="12" t="s">
        <v>50</v>
      </c>
      <c r="L16" s="14" t="n">
        <v>4541687.92</v>
      </c>
      <c r="M16" s="12"/>
    </row>
    <row r="17" customFormat="false" ht="15" hidden="false" customHeight="false" outlineLevel="0" collapsed="false">
      <c r="C17" s="12" t="s">
        <v>5</v>
      </c>
      <c r="D17" s="13" t="n">
        <v>2601201</v>
      </c>
      <c r="E17" s="13" t="n">
        <v>2015</v>
      </c>
      <c r="F17" s="12" t="s">
        <v>71</v>
      </c>
      <c r="G17" s="12" t="s">
        <v>46</v>
      </c>
      <c r="H17" s="12" t="s">
        <v>47</v>
      </c>
      <c r="I17" s="12" t="s">
        <v>72</v>
      </c>
      <c r="J17" s="12" t="s">
        <v>73</v>
      </c>
      <c r="K17" s="12" t="s">
        <v>50</v>
      </c>
      <c r="L17" s="14" t="n">
        <v>91796679.99</v>
      </c>
      <c r="M17" s="12"/>
    </row>
    <row r="18" customFormat="false" ht="15" hidden="false" customHeight="false" outlineLevel="0" collapsed="false">
      <c r="C18" s="12" t="s">
        <v>5</v>
      </c>
      <c r="D18" s="13" t="n">
        <v>2601201</v>
      </c>
      <c r="E18" s="13" t="n">
        <v>2015</v>
      </c>
      <c r="F18" s="12" t="s">
        <v>74</v>
      </c>
      <c r="G18" s="12" t="s">
        <v>46</v>
      </c>
      <c r="H18" s="12" t="s">
        <v>47</v>
      </c>
      <c r="I18" s="12" t="s">
        <v>75</v>
      </c>
      <c r="J18" s="12" t="s">
        <v>76</v>
      </c>
      <c r="K18" s="12" t="s">
        <v>50</v>
      </c>
      <c r="L18" s="14" t="n">
        <v>1600291.21</v>
      </c>
      <c r="M18" s="12"/>
    </row>
    <row r="19" customFormat="false" ht="15" hidden="false" customHeight="false" outlineLevel="0" collapsed="false">
      <c r="C19" s="12" t="s">
        <v>5</v>
      </c>
      <c r="D19" s="13" t="n">
        <v>2601201</v>
      </c>
      <c r="E19" s="13" t="n">
        <v>2016</v>
      </c>
      <c r="F19" s="12" t="s">
        <v>45</v>
      </c>
      <c r="G19" s="12" t="s">
        <v>77</v>
      </c>
      <c r="H19" s="12" t="s">
        <v>47</v>
      </c>
      <c r="I19" s="12" t="s">
        <v>48</v>
      </c>
      <c r="J19" s="12" t="s">
        <v>49</v>
      </c>
      <c r="K19" s="12" t="s">
        <v>50</v>
      </c>
      <c r="L19" s="14" t="n">
        <v>146212322.94</v>
      </c>
      <c r="M19" s="12"/>
    </row>
    <row r="20" customFormat="false" ht="15" hidden="false" customHeight="false" outlineLevel="0" collapsed="false">
      <c r="C20" s="12" t="s">
        <v>5</v>
      </c>
      <c r="D20" s="13" t="n">
        <v>2601201</v>
      </c>
      <c r="E20" s="13" t="n">
        <v>2016</v>
      </c>
      <c r="F20" s="12" t="s">
        <v>51</v>
      </c>
      <c r="G20" s="12" t="s">
        <v>77</v>
      </c>
      <c r="H20" s="12" t="s">
        <v>47</v>
      </c>
      <c r="I20" s="12" t="s">
        <v>48</v>
      </c>
      <c r="J20" s="12" t="s">
        <v>49</v>
      </c>
      <c r="K20" s="12" t="s">
        <v>52</v>
      </c>
      <c r="L20" s="14" t="n">
        <v>11514533.37</v>
      </c>
      <c r="M20" s="12"/>
    </row>
    <row r="21" customFormat="false" ht="15" hidden="false" customHeight="false" outlineLevel="0" collapsed="false">
      <c r="C21" s="12" t="s">
        <v>5</v>
      </c>
      <c r="D21" s="13" t="n">
        <v>2601201</v>
      </c>
      <c r="E21" s="13" t="n">
        <v>2016</v>
      </c>
      <c r="F21" s="12" t="s">
        <v>53</v>
      </c>
      <c r="G21" s="12" t="s">
        <v>77</v>
      </c>
      <c r="H21" s="12" t="s">
        <v>54</v>
      </c>
      <c r="I21" s="12" t="s">
        <v>55</v>
      </c>
      <c r="J21" s="12" t="s">
        <v>56</v>
      </c>
      <c r="K21" s="12" t="s">
        <v>57</v>
      </c>
      <c r="L21" s="14" t="n">
        <v>138878607.13</v>
      </c>
      <c r="M21" s="12"/>
    </row>
    <row r="22" customFormat="false" ht="15" hidden="false" customHeight="false" outlineLevel="0" collapsed="false">
      <c r="C22" s="12" t="s">
        <v>5</v>
      </c>
      <c r="D22" s="13" t="n">
        <v>2601201</v>
      </c>
      <c r="E22" s="13" t="n">
        <v>2016</v>
      </c>
      <c r="F22" s="12" t="s">
        <v>58</v>
      </c>
      <c r="G22" s="12" t="s">
        <v>77</v>
      </c>
      <c r="H22" s="12" t="s">
        <v>54</v>
      </c>
      <c r="I22" s="12" t="s">
        <v>55</v>
      </c>
      <c r="J22" s="12" t="s">
        <v>56</v>
      </c>
      <c r="K22" s="12" t="s">
        <v>59</v>
      </c>
      <c r="L22" s="14" t="n">
        <v>138878607.13</v>
      </c>
      <c r="M22" s="12"/>
    </row>
    <row r="23" customFormat="false" ht="15" hidden="false" customHeight="false" outlineLevel="0" collapsed="false">
      <c r="C23" s="12" t="s">
        <v>5</v>
      </c>
      <c r="D23" s="13" t="n">
        <v>2601201</v>
      </c>
      <c r="E23" s="13" t="n">
        <v>2016</v>
      </c>
      <c r="F23" s="12" t="s">
        <v>60</v>
      </c>
      <c r="G23" s="12" t="s">
        <v>77</v>
      </c>
      <c r="H23" s="12" t="s">
        <v>54</v>
      </c>
      <c r="I23" s="12" t="s">
        <v>55</v>
      </c>
      <c r="J23" s="12" t="s">
        <v>56</v>
      </c>
      <c r="K23" s="12" t="s">
        <v>61</v>
      </c>
      <c r="L23" s="14" t="n">
        <v>128454436.44</v>
      </c>
      <c r="M23" s="12"/>
    </row>
    <row r="24" customFormat="false" ht="15" hidden="false" customHeight="false" outlineLevel="0" collapsed="false">
      <c r="C24" s="12" t="s">
        <v>5</v>
      </c>
      <c r="D24" s="13" t="n">
        <v>2601201</v>
      </c>
      <c r="E24" s="13" t="n">
        <v>2016</v>
      </c>
      <c r="F24" s="12" t="s">
        <v>62</v>
      </c>
      <c r="G24" s="12" t="s">
        <v>77</v>
      </c>
      <c r="H24" s="12" t="s">
        <v>47</v>
      </c>
      <c r="I24" s="12" t="s">
        <v>63</v>
      </c>
      <c r="J24" s="12" t="s">
        <v>64</v>
      </c>
      <c r="K24" s="12" t="s">
        <v>50</v>
      </c>
      <c r="L24" s="14" t="n">
        <v>12846710.62</v>
      </c>
      <c r="M24" s="12"/>
    </row>
    <row r="25" customFormat="false" ht="15" hidden="false" customHeight="false" outlineLevel="0" collapsed="false">
      <c r="C25" s="12" t="s">
        <v>5</v>
      </c>
      <c r="D25" s="13" t="n">
        <v>2601201</v>
      </c>
      <c r="E25" s="13" t="n">
        <v>2016</v>
      </c>
      <c r="F25" s="12" t="s">
        <v>65</v>
      </c>
      <c r="G25" s="12" t="s">
        <v>77</v>
      </c>
      <c r="H25" s="12" t="s">
        <v>47</v>
      </c>
      <c r="I25" s="12" t="s">
        <v>66</v>
      </c>
      <c r="J25" s="12" t="s">
        <v>67</v>
      </c>
      <c r="K25" s="12" t="s">
        <v>50</v>
      </c>
      <c r="L25" s="14" t="n">
        <v>106799138.44</v>
      </c>
      <c r="M25" s="12"/>
    </row>
    <row r="26" customFormat="false" ht="15" hidden="false" customHeight="false" outlineLevel="0" collapsed="false">
      <c r="C26" s="12" t="s">
        <v>5</v>
      </c>
      <c r="D26" s="13" t="n">
        <v>2601201</v>
      </c>
      <c r="E26" s="13" t="n">
        <v>2016</v>
      </c>
      <c r="F26" s="12" t="s">
        <v>68</v>
      </c>
      <c r="G26" s="12" t="s">
        <v>77</v>
      </c>
      <c r="H26" s="12" t="s">
        <v>47</v>
      </c>
      <c r="I26" s="12" t="s">
        <v>69</v>
      </c>
      <c r="J26" s="12" t="s">
        <v>70</v>
      </c>
      <c r="K26" s="12" t="s">
        <v>50</v>
      </c>
      <c r="L26" s="14" t="n">
        <v>7869625.53</v>
      </c>
      <c r="M26" s="12"/>
    </row>
    <row r="27" customFormat="false" ht="15" hidden="false" customHeight="false" outlineLevel="0" collapsed="false">
      <c r="C27" s="12" t="s">
        <v>5</v>
      </c>
      <c r="D27" s="13" t="n">
        <v>2601201</v>
      </c>
      <c r="E27" s="13" t="n">
        <v>2016</v>
      </c>
      <c r="F27" s="12" t="s">
        <v>71</v>
      </c>
      <c r="G27" s="12" t="s">
        <v>77</v>
      </c>
      <c r="H27" s="12" t="s">
        <v>47</v>
      </c>
      <c r="I27" s="12" t="s">
        <v>72</v>
      </c>
      <c r="J27" s="12" t="s">
        <v>73</v>
      </c>
      <c r="K27" s="12" t="s">
        <v>50</v>
      </c>
      <c r="L27" s="14" t="n">
        <v>104826195.25</v>
      </c>
      <c r="M27" s="12"/>
    </row>
    <row r="28" customFormat="false" ht="15" hidden="false" customHeight="false" outlineLevel="0" collapsed="false">
      <c r="C28" s="12" t="s">
        <v>5</v>
      </c>
      <c r="D28" s="13" t="n">
        <v>2601201</v>
      </c>
      <c r="E28" s="13" t="n">
        <v>2016</v>
      </c>
      <c r="F28" s="12" t="s">
        <v>74</v>
      </c>
      <c r="G28" s="12" t="s">
        <v>77</v>
      </c>
      <c r="H28" s="12" t="s">
        <v>47</v>
      </c>
      <c r="I28" s="12" t="s">
        <v>75</v>
      </c>
      <c r="J28" s="12" t="s">
        <v>76</v>
      </c>
      <c r="K28" s="12" t="s">
        <v>50</v>
      </c>
      <c r="L28" s="14" t="n">
        <v>4328097.71</v>
      </c>
      <c r="M28" s="12"/>
    </row>
    <row r="29" customFormat="false" ht="15" hidden="false" customHeight="false" outlineLevel="0" collapsed="false">
      <c r="C29" s="12" t="s">
        <v>5</v>
      </c>
      <c r="D29" s="13" t="n">
        <v>2601201</v>
      </c>
      <c r="E29" s="13" t="n">
        <v>2017</v>
      </c>
      <c r="F29" s="12" t="s">
        <v>45</v>
      </c>
      <c r="G29" s="12" t="s">
        <v>78</v>
      </c>
      <c r="H29" s="12" t="s">
        <v>47</v>
      </c>
      <c r="I29" s="12" t="s">
        <v>48</v>
      </c>
      <c r="J29" s="12" t="s">
        <v>49</v>
      </c>
      <c r="K29" s="12" t="s">
        <v>50</v>
      </c>
      <c r="L29" s="14" t="n">
        <v>147298358.01</v>
      </c>
      <c r="M29" s="12" t="s">
        <v>79</v>
      </c>
    </row>
    <row r="30" customFormat="false" ht="15" hidden="false" customHeight="false" outlineLevel="0" collapsed="false">
      <c r="C30" s="12" t="s">
        <v>5</v>
      </c>
      <c r="D30" s="13" t="n">
        <v>2601201</v>
      </c>
      <c r="E30" s="13" t="n">
        <v>2017</v>
      </c>
      <c r="F30" s="12" t="s">
        <v>51</v>
      </c>
      <c r="G30" s="12" t="s">
        <v>78</v>
      </c>
      <c r="H30" s="12" t="s">
        <v>47</v>
      </c>
      <c r="I30" s="12" t="s">
        <v>48</v>
      </c>
      <c r="J30" s="12" t="s">
        <v>49</v>
      </c>
      <c r="K30" s="12" t="s">
        <v>52</v>
      </c>
      <c r="L30" s="14" t="n">
        <v>11283258.83</v>
      </c>
      <c r="M30" s="12" t="s">
        <v>79</v>
      </c>
    </row>
    <row r="31" customFormat="false" ht="15" hidden="false" customHeight="false" outlineLevel="0" collapsed="false">
      <c r="C31" s="12" t="s">
        <v>5</v>
      </c>
      <c r="D31" s="13" t="n">
        <v>2601201</v>
      </c>
      <c r="E31" s="13" t="n">
        <v>2017</v>
      </c>
      <c r="F31" s="12" t="s">
        <v>53</v>
      </c>
      <c r="G31" s="12" t="s">
        <v>78</v>
      </c>
      <c r="H31" s="12" t="s">
        <v>54</v>
      </c>
      <c r="I31" s="12" t="s">
        <v>55</v>
      </c>
      <c r="J31" s="12" t="s">
        <v>56</v>
      </c>
      <c r="K31" s="12" t="s">
        <v>57</v>
      </c>
      <c r="L31" s="14" t="n">
        <v>140070545.37</v>
      </c>
      <c r="M31" s="12" t="s">
        <v>79</v>
      </c>
    </row>
    <row r="32" customFormat="false" ht="15" hidden="false" customHeight="false" outlineLevel="0" collapsed="false">
      <c r="C32" s="12" t="s">
        <v>5</v>
      </c>
      <c r="D32" s="13" t="n">
        <v>2601201</v>
      </c>
      <c r="E32" s="13" t="n">
        <v>2017</v>
      </c>
      <c r="F32" s="12" t="s">
        <v>58</v>
      </c>
      <c r="G32" s="12" t="s">
        <v>78</v>
      </c>
      <c r="H32" s="12" t="s">
        <v>54</v>
      </c>
      <c r="I32" s="12" t="s">
        <v>55</v>
      </c>
      <c r="J32" s="12" t="s">
        <v>56</v>
      </c>
      <c r="K32" s="12" t="s">
        <v>59</v>
      </c>
      <c r="L32" s="14" t="n">
        <v>140070545.37</v>
      </c>
      <c r="M32" s="12" t="s">
        <v>79</v>
      </c>
    </row>
    <row r="33" customFormat="false" ht="15" hidden="false" customHeight="false" outlineLevel="0" collapsed="false">
      <c r="C33" s="12" t="s">
        <v>5</v>
      </c>
      <c r="D33" s="13" t="n">
        <v>2601201</v>
      </c>
      <c r="E33" s="13" t="n">
        <v>2017</v>
      </c>
      <c r="F33" s="12" t="s">
        <v>60</v>
      </c>
      <c r="G33" s="12" t="s">
        <v>78</v>
      </c>
      <c r="H33" s="12" t="s">
        <v>54</v>
      </c>
      <c r="I33" s="12" t="s">
        <v>55</v>
      </c>
      <c r="J33" s="12" t="s">
        <v>56</v>
      </c>
      <c r="K33" s="12" t="s">
        <v>61</v>
      </c>
      <c r="L33" s="14" t="n">
        <v>128661278.75</v>
      </c>
      <c r="M33" s="12" t="s">
        <v>79</v>
      </c>
    </row>
    <row r="34" customFormat="false" ht="15" hidden="false" customHeight="false" outlineLevel="0" collapsed="false">
      <c r="C34" s="12" t="s">
        <v>5</v>
      </c>
      <c r="D34" s="13" t="n">
        <v>2601201</v>
      </c>
      <c r="E34" s="13" t="n">
        <v>2017</v>
      </c>
      <c r="F34" s="12" t="s">
        <v>80</v>
      </c>
      <c r="G34" s="12" t="s">
        <v>78</v>
      </c>
      <c r="H34" s="12" t="s">
        <v>81</v>
      </c>
      <c r="I34" s="12" t="s">
        <v>55</v>
      </c>
      <c r="J34" s="12" t="s">
        <v>82</v>
      </c>
      <c r="K34" s="12" t="s">
        <v>57</v>
      </c>
      <c r="L34" s="14" t="n">
        <v>133506341.73</v>
      </c>
      <c r="M34" s="12" t="s">
        <v>83</v>
      </c>
    </row>
    <row r="35" customFormat="false" ht="15" hidden="false" customHeight="false" outlineLevel="0" collapsed="false">
      <c r="C35" s="12" t="s">
        <v>5</v>
      </c>
      <c r="D35" s="13" t="n">
        <v>2601201</v>
      </c>
      <c r="E35" s="13" t="n">
        <v>2017</v>
      </c>
      <c r="F35" s="12" t="s">
        <v>84</v>
      </c>
      <c r="G35" s="12" t="s">
        <v>78</v>
      </c>
      <c r="H35" s="12" t="s">
        <v>81</v>
      </c>
      <c r="I35" s="12" t="s">
        <v>55</v>
      </c>
      <c r="J35" s="12" t="s">
        <v>82</v>
      </c>
      <c r="K35" s="12" t="s">
        <v>59</v>
      </c>
      <c r="L35" s="14" t="n">
        <v>133506341.73</v>
      </c>
      <c r="M35" s="12" t="s">
        <v>83</v>
      </c>
    </row>
    <row r="36" customFormat="false" ht="15" hidden="false" customHeight="false" outlineLevel="0" collapsed="false">
      <c r="C36" s="12" t="s">
        <v>5</v>
      </c>
      <c r="D36" s="13" t="n">
        <v>2601201</v>
      </c>
      <c r="E36" s="13" t="n">
        <v>2017</v>
      </c>
      <c r="F36" s="12" t="s">
        <v>85</v>
      </c>
      <c r="G36" s="12" t="s">
        <v>78</v>
      </c>
      <c r="H36" s="12" t="s">
        <v>81</v>
      </c>
      <c r="I36" s="12" t="s">
        <v>55</v>
      </c>
      <c r="J36" s="12" t="s">
        <v>82</v>
      </c>
      <c r="K36" s="12" t="s">
        <v>61</v>
      </c>
      <c r="L36" s="14" t="n">
        <v>122709122.58</v>
      </c>
      <c r="M36" s="12" t="s">
        <v>83</v>
      </c>
    </row>
    <row r="37" customFormat="false" ht="15" hidden="false" customHeight="false" outlineLevel="0" collapsed="false">
      <c r="C37" s="12" t="s">
        <v>5</v>
      </c>
      <c r="D37" s="13" t="n">
        <v>2601201</v>
      </c>
      <c r="E37" s="13" t="n">
        <v>2017</v>
      </c>
      <c r="F37" s="12" t="s">
        <v>62</v>
      </c>
      <c r="G37" s="12" t="s">
        <v>78</v>
      </c>
      <c r="H37" s="12" t="s">
        <v>47</v>
      </c>
      <c r="I37" s="12" t="s">
        <v>63</v>
      </c>
      <c r="J37" s="12" t="s">
        <v>64</v>
      </c>
      <c r="K37" s="12" t="s">
        <v>50</v>
      </c>
      <c r="L37" s="14" t="n">
        <v>11763761.23</v>
      </c>
      <c r="M37" s="12" t="s">
        <v>79</v>
      </c>
    </row>
    <row r="38" customFormat="false" ht="15" hidden="false" customHeight="false" outlineLevel="0" collapsed="false">
      <c r="C38" s="12" t="s">
        <v>5</v>
      </c>
      <c r="D38" s="13" t="n">
        <v>2601201</v>
      </c>
      <c r="E38" s="13" t="n">
        <v>2017</v>
      </c>
      <c r="F38" s="12" t="s">
        <v>65</v>
      </c>
      <c r="G38" s="12" t="s">
        <v>78</v>
      </c>
      <c r="H38" s="12" t="s">
        <v>47</v>
      </c>
      <c r="I38" s="12" t="s">
        <v>66</v>
      </c>
      <c r="J38" s="12" t="s">
        <v>67</v>
      </c>
      <c r="K38" s="12" t="s">
        <v>50</v>
      </c>
      <c r="L38" s="14" t="n">
        <v>106324721.26</v>
      </c>
      <c r="M38" s="12" t="s">
        <v>79</v>
      </c>
    </row>
    <row r="39" customFormat="false" ht="15" hidden="false" customHeight="false" outlineLevel="0" collapsed="false">
      <c r="C39" s="12" t="s">
        <v>5</v>
      </c>
      <c r="D39" s="13" t="n">
        <v>2601201</v>
      </c>
      <c r="E39" s="13" t="n">
        <v>2017</v>
      </c>
      <c r="F39" s="12" t="s">
        <v>68</v>
      </c>
      <c r="G39" s="12" t="s">
        <v>78</v>
      </c>
      <c r="H39" s="12" t="s">
        <v>47</v>
      </c>
      <c r="I39" s="12" t="s">
        <v>69</v>
      </c>
      <c r="J39" s="12" t="s">
        <v>70</v>
      </c>
      <c r="K39" s="12" t="s">
        <v>50</v>
      </c>
      <c r="L39" s="14" t="n">
        <v>5468408.68</v>
      </c>
      <c r="M39" s="12" t="s">
        <v>79</v>
      </c>
    </row>
    <row r="40" customFormat="false" ht="15" hidden="false" customHeight="false" outlineLevel="0" collapsed="false">
      <c r="C40" s="12" t="s">
        <v>5</v>
      </c>
      <c r="D40" s="13" t="n">
        <v>2601201</v>
      </c>
      <c r="E40" s="13" t="n">
        <v>2017</v>
      </c>
      <c r="F40" s="12" t="s">
        <v>71</v>
      </c>
      <c r="G40" s="12" t="s">
        <v>78</v>
      </c>
      <c r="H40" s="12" t="s">
        <v>47</v>
      </c>
      <c r="I40" s="12" t="s">
        <v>72</v>
      </c>
      <c r="J40" s="12" t="s">
        <v>73</v>
      </c>
      <c r="K40" s="12" t="s">
        <v>50</v>
      </c>
      <c r="L40" s="14" t="n">
        <v>104757390.76</v>
      </c>
      <c r="M40" s="12" t="s">
        <v>79</v>
      </c>
    </row>
    <row r="41" customFormat="false" ht="15" hidden="false" customHeight="false" outlineLevel="0" collapsed="false">
      <c r="C41" s="12" t="s">
        <v>5</v>
      </c>
      <c r="D41" s="13" t="n">
        <v>2601201</v>
      </c>
      <c r="E41" s="13" t="n">
        <v>2017</v>
      </c>
      <c r="F41" s="12" t="s">
        <v>74</v>
      </c>
      <c r="G41" s="12" t="s">
        <v>78</v>
      </c>
      <c r="H41" s="12" t="s">
        <v>47</v>
      </c>
      <c r="I41" s="12" t="s">
        <v>75</v>
      </c>
      <c r="J41" s="12" t="s">
        <v>76</v>
      </c>
      <c r="K41" s="12" t="s">
        <v>50</v>
      </c>
      <c r="L41" s="14" t="n">
        <v>1764037.24</v>
      </c>
      <c r="M41" s="12" t="s">
        <v>79</v>
      </c>
    </row>
    <row r="42" customFormat="false" ht="15" hidden="false" customHeight="false" outlineLevel="0" collapsed="false">
      <c r="C42" s="12" t="s">
        <v>5</v>
      </c>
      <c r="D42" s="13" t="n">
        <v>2601201</v>
      </c>
      <c r="E42" s="13" t="n">
        <v>2017</v>
      </c>
      <c r="F42" s="12" t="s">
        <v>86</v>
      </c>
      <c r="G42" s="12" t="s">
        <v>78</v>
      </c>
      <c r="H42" s="12" t="s">
        <v>81</v>
      </c>
      <c r="I42" s="12" t="s">
        <v>55</v>
      </c>
      <c r="J42" s="12" t="s">
        <v>87</v>
      </c>
      <c r="K42" s="12" t="s">
        <v>57</v>
      </c>
      <c r="L42" s="14" t="n">
        <v>5342557.29</v>
      </c>
      <c r="M42" s="12" t="s">
        <v>83</v>
      </c>
    </row>
    <row r="43" customFormat="false" ht="15" hidden="false" customHeight="false" outlineLevel="0" collapsed="false">
      <c r="C43" s="12" t="s">
        <v>5</v>
      </c>
      <c r="D43" s="13" t="n">
        <v>2601201</v>
      </c>
      <c r="E43" s="13" t="n">
        <v>2017</v>
      </c>
      <c r="F43" s="12" t="s">
        <v>88</v>
      </c>
      <c r="G43" s="12" t="s">
        <v>78</v>
      </c>
      <c r="H43" s="12" t="s">
        <v>81</v>
      </c>
      <c r="I43" s="12" t="s">
        <v>55</v>
      </c>
      <c r="J43" s="12" t="s">
        <v>89</v>
      </c>
      <c r="K43" s="12" t="s">
        <v>57</v>
      </c>
      <c r="L43" s="14" t="n">
        <v>26594984.4</v>
      </c>
      <c r="M43" s="12" t="s">
        <v>83</v>
      </c>
    </row>
    <row r="44" customFormat="false" ht="15" hidden="false" customHeight="false" outlineLevel="0" collapsed="false">
      <c r="C44" s="12" t="s">
        <v>5</v>
      </c>
      <c r="D44" s="13" t="n">
        <v>2601201</v>
      </c>
      <c r="E44" s="13" t="n">
        <v>2017</v>
      </c>
      <c r="F44" s="12" t="s">
        <v>90</v>
      </c>
      <c r="G44" s="12" t="s">
        <v>78</v>
      </c>
      <c r="H44" s="12" t="s">
        <v>81</v>
      </c>
      <c r="I44" s="12" t="s">
        <v>55</v>
      </c>
      <c r="J44" s="12" t="s">
        <v>91</v>
      </c>
      <c r="K44" s="12" t="s">
        <v>57</v>
      </c>
      <c r="L44" s="14" t="n">
        <v>4219845.46</v>
      </c>
      <c r="M44" s="12" t="s">
        <v>83</v>
      </c>
    </row>
    <row r="45" customFormat="false" ht="15" hidden="false" customHeight="false" outlineLevel="0" collapsed="false">
      <c r="C45" s="12" t="s">
        <v>5</v>
      </c>
      <c r="D45" s="13" t="n">
        <v>2601201</v>
      </c>
      <c r="E45" s="13" t="n">
        <v>2017</v>
      </c>
      <c r="F45" s="12" t="s">
        <v>92</v>
      </c>
      <c r="G45" s="12" t="s">
        <v>78</v>
      </c>
      <c r="H45" s="12" t="s">
        <v>81</v>
      </c>
      <c r="I45" s="12" t="s">
        <v>55</v>
      </c>
      <c r="J45" s="12" t="s">
        <v>93</v>
      </c>
      <c r="K45" s="12" t="s">
        <v>57</v>
      </c>
      <c r="L45" s="14" t="n">
        <v>14754363.99</v>
      </c>
      <c r="M45" s="12" t="s">
        <v>83</v>
      </c>
    </row>
    <row r="46" customFormat="false" ht="15" hidden="false" customHeight="false" outlineLevel="0" collapsed="false">
      <c r="C46" s="12" t="s">
        <v>5</v>
      </c>
      <c r="D46" s="13" t="n">
        <v>2601201</v>
      </c>
      <c r="E46" s="13" t="n">
        <v>2017</v>
      </c>
      <c r="F46" s="12" t="s">
        <v>94</v>
      </c>
      <c r="G46" s="12" t="s">
        <v>78</v>
      </c>
      <c r="H46" s="12" t="s">
        <v>81</v>
      </c>
      <c r="I46" s="12" t="s">
        <v>55</v>
      </c>
      <c r="J46" s="12" t="s">
        <v>95</v>
      </c>
      <c r="K46" s="12" t="s">
        <v>57</v>
      </c>
      <c r="L46" s="14" t="n">
        <v>30659766.53</v>
      </c>
      <c r="M46" s="12" t="s">
        <v>83</v>
      </c>
    </row>
    <row r="47" customFormat="false" ht="15" hidden="false" customHeight="false" outlineLevel="0" collapsed="false">
      <c r="C47" s="12" t="s">
        <v>5</v>
      </c>
      <c r="D47" s="13" t="n">
        <v>2601201</v>
      </c>
      <c r="E47" s="13" t="n">
        <v>2017</v>
      </c>
      <c r="F47" s="12" t="s">
        <v>96</v>
      </c>
      <c r="G47" s="12" t="s">
        <v>78</v>
      </c>
      <c r="H47" s="12" t="s">
        <v>81</v>
      </c>
      <c r="I47" s="12" t="s">
        <v>55</v>
      </c>
      <c r="J47" s="12" t="s">
        <v>97</v>
      </c>
      <c r="K47" s="12" t="s">
        <v>57</v>
      </c>
      <c r="L47" s="14" t="n">
        <v>1022</v>
      </c>
      <c r="M47" s="12" t="s">
        <v>83</v>
      </c>
    </row>
    <row r="48" customFormat="false" ht="15" hidden="false" customHeight="false" outlineLevel="0" collapsed="false">
      <c r="C48" s="12" t="s">
        <v>5</v>
      </c>
      <c r="D48" s="13" t="n">
        <v>2601201</v>
      </c>
      <c r="E48" s="13" t="n">
        <v>2017</v>
      </c>
      <c r="F48" s="12" t="s">
        <v>98</v>
      </c>
      <c r="G48" s="12" t="s">
        <v>78</v>
      </c>
      <c r="H48" s="12" t="s">
        <v>81</v>
      </c>
      <c r="I48" s="12" t="s">
        <v>55</v>
      </c>
      <c r="J48" s="12" t="s">
        <v>99</v>
      </c>
      <c r="K48" s="12" t="s">
        <v>57</v>
      </c>
      <c r="L48" s="14" t="n">
        <v>37850463.89</v>
      </c>
      <c r="M48" s="12" t="s">
        <v>83</v>
      </c>
    </row>
    <row r="49" customFormat="false" ht="15" hidden="false" customHeight="false" outlineLevel="0" collapsed="false">
      <c r="C49" s="12" t="s">
        <v>5</v>
      </c>
      <c r="D49" s="13" t="n">
        <v>2601201</v>
      </c>
      <c r="E49" s="13" t="n">
        <v>2017</v>
      </c>
      <c r="F49" s="12" t="s">
        <v>100</v>
      </c>
      <c r="G49" s="12" t="s">
        <v>78</v>
      </c>
      <c r="H49" s="12" t="s">
        <v>81</v>
      </c>
      <c r="I49" s="12" t="s">
        <v>55</v>
      </c>
      <c r="J49" s="12" t="s">
        <v>101</v>
      </c>
      <c r="K49" s="12" t="s">
        <v>57</v>
      </c>
      <c r="L49" s="14" t="n">
        <v>188353.36</v>
      </c>
      <c r="M49" s="12" t="s">
        <v>83</v>
      </c>
    </row>
    <row r="50" customFormat="false" ht="15" hidden="false" customHeight="false" outlineLevel="0" collapsed="false">
      <c r="C50" s="12" t="s">
        <v>5</v>
      </c>
      <c r="D50" s="13" t="n">
        <v>2601201</v>
      </c>
      <c r="E50" s="13" t="n">
        <v>2017</v>
      </c>
      <c r="F50" s="12" t="s">
        <v>102</v>
      </c>
      <c r="G50" s="12" t="s">
        <v>78</v>
      </c>
      <c r="H50" s="12" t="s">
        <v>81</v>
      </c>
      <c r="I50" s="12" t="s">
        <v>55</v>
      </c>
      <c r="J50" s="12" t="s">
        <v>103</v>
      </c>
      <c r="K50" s="12" t="s">
        <v>57</v>
      </c>
      <c r="L50" s="14" t="n">
        <v>7540464.69</v>
      </c>
      <c r="M50" s="12" t="s">
        <v>83</v>
      </c>
    </row>
    <row r="51" customFormat="false" ht="15" hidden="false" customHeight="false" outlineLevel="0" collapsed="false">
      <c r="C51" s="12" t="s">
        <v>5</v>
      </c>
      <c r="D51" s="13" t="n">
        <v>2601201</v>
      </c>
      <c r="E51" s="13" t="n">
        <v>2017</v>
      </c>
      <c r="F51" s="12" t="s">
        <v>104</v>
      </c>
      <c r="G51" s="12" t="s">
        <v>78</v>
      </c>
      <c r="H51" s="12" t="s">
        <v>81</v>
      </c>
      <c r="I51" s="12" t="s">
        <v>55</v>
      </c>
      <c r="J51" s="12" t="s">
        <v>105</v>
      </c>
      <c r="K51" s="12" t="s">
        <v>57</v>
      </c>
      <c r="L51" s="14" t="n">
        <v>44598.04</v>
      </c>
      <c r="M51" s="12" t="s">
        <v>83</v>
      </c>
    </row>
    <row r="52" customFormat="false" ht="15" hidden="false" customHeight="false" outlineLevel="0" collapsed="false">
      <c r="C52" s="12" t="s">
        <v>5</v>
      </c>
      <c r="D52" s="13" t="n">
        <v>2601201</v>
      </c>
      <c r="E52" s="13" t="n">
        <v>2017</v>
      </c>
      <c r="F52" s="12" t="s">
        <v>106</v>
      </c>
      <c r="G52" s="12" t="s">
        <v>78</v>
      </c>
      <c r="H52" s="12" t="s">
        <v>81</v>
      </c>
      <c r="I52" s="12" t="s">
        <v>55</v>
      </c>
      <c r="J52" s="12" t="s">
        <v>107</v>
      </c>
      <c r="K52" s="12" t="s">
        <v>57</v>
      </c>
      <c r="L52" s="14" t="n">
        <v>1044012.09</v>
      </c>
      <c r="M52" s="12" t="s">
        <v>83</v>
      </c>
    </row>
    <row r="53" customFormat="false" ht="15" hidden="false" customHeight="false" outlineLevel="0" collapsed="false">
      <c r="C53" s="12" t="s">
        <v>5</v>
      </c>
      <c r="D53" s="13" t="n">
        <v>2601201</v>
      </c>
      <c r="E53" s="13" t="n">
        <v>2017</v>
      </c>
      <c r="F53" s="12" t="s">
        <v>108</v>
      </c>
      <c r="G53" s="12" t="s">
        <v>78</v>
      </c>
      <c r="H53" s="12" t="s">
        <v>81</v>
      </c>
      <c r="I53" s="12" t="s">
        <v>55</v>
      </c>
      <c r="J53" s="12" t="s">
        <v>109</v>
      </c>
      <c r="K53" s="12" t="s">
        <v>57</v>
      </c>
      <c r="L53" s="14" t="n">
        <v>82563</v>
      </c>
      <c r="M53" s="12" t="s">
        <v>83</v>
      </c>
    </row>
    <row r="54" customFormat="false" ht="15" hidden="false" customHeight="false" outlineLevel="0" collapsed="false">
      <c r="C54" s="12" t="s">
        <v>5</v>
      </c>
      <c r="D54" s="13" t="n">
        <v>2601201</v>
      </c>
      <c r="E54" s="13" t="n">
        <v>2017</v>
      </c>
      <c r="F54" s="12" t="s">
        <v>110</v>
      </c>
      <c r="G54" s="12" t="s">
        <v>78</v>
      </c>
      <c r="H54" s="12" t="s">
        <v>81</v>
      </c>
      <c r="I54" s="12" t="s">
        <v>55</v>
      </c>
      <c r="J54" s="12" t="s">
        <v>111</v>
      </c>
      <c r="K54" s="12" t="s">
        <v>57</v>
      </c>
      <c r="L54" s="14" t="n">
        <v>2911754.72</v>
      </c>
      <c r="M54" s="12" t="s">
        <v>83</v>
      </c>
    </row>
    <row r="55" customFormat="false" ht="15" hidden="false" customHeight="false" outlineLevel="0" collapsed="false">
      <c r="C55" s="12" t="s">
        <v>5</v>
      </c>
      <c r="D55" s="13" t="n">
        <v>2601201</v>
      </c>
      <c r="E55" s="13" t="n">
        <v>2017</v>
      </c>
      <c r="F55" s="12" t="s">
        <v>112</v>
      </c>
      <c r="G55" s="12" t="s">
        <v>78</v>
      </c>
      <c r="H55" s="12" t="s">
        <v>81</v>
      </c>
      <c r="I55" s="12" t="s">
        <v>55</v>
      </c>
      <c r="J55" s="12" t="s">
        <v>113</v>
      </c>
      <c r="K55" s="12" t="s">
        <v>57</v>
      </c>
      <c r="L55" s="14" t="n">
        <v>19029.78</v>
      </c>
      <c r="M55" s="12" t="s">
        <v>83</v>
      </c>
    </row>
    <row r="56" customFormat="false" ht="15" hidden="false" customHeight="false" outlineLevel="0" collapsed="false">
      <c r="C56" s="12" t="s">
        <v>5</v>
      </c>
      <c r="D56" s="13" t="n">
        <v>2601201</v>
      </c>
      <c r="E56" s="13" t="n">
        <v>2017</v>
      </c>
      <c r="F56" s="12" t="s">
        <v>114</v>
      </c>
      <c r="G56" s="12" t="s">
        <v>78</v>
      </c>
      <c r="H56" s="12" t="s">
        <v>81</v>
      </c>
      <c r="I56" s="12" t="s">
        <v>55</v>
      </c>
      <c r="J56" s="12" t="s">
        <v>115</v>
      </c>
      <c r="K56" s="12" t="s">
        <v>57</v>
      </c>
      <c r="L56" s="14" t="n">
        <v>2252562.49</v>
      </c>
      <c r="M56" s="12" t="s">
        <v>83</v>
      </c>
    </row>
    <row r="57" customFormat="false" ht="15" hidden="false" customHeight="false" outlineLevel="0" collapsed="false">
      <c r="C57" s="12" t="s">
        <v>5</v>
      </c>
      <c r="D57" s="13" t="n">
        <v>2601201</v>
      </c>
      <c r="E57" s="13" t="n">
        <v>2018</v>
      </c>
      <c r="F57" s="12" t="s">
        <v>45</v>
      </c>
      <c r="G57" s="12" t="s">
        <v>116</v>
      </c>
      <c r="H57" s="12" t="s">
        <v>47</v>
      </c>
      <c r="I57" s="12" t="s">
        <v>48</v>
      </c>
      <c r="J57" s="12" t="s">
        <v>49</v>
      </c>
      <c r="K57" s="12" t="s">
        <v>50</v>
      </c>
      <c r="L57" s="14" t="n">
        <v>157454881.55</v>
      </c>
      <c r="M57" s="12" t="s">
        <v>79</v>
      </c>
    </row>
    <row r="58" customFormat="false" ht="15" hidden="false" customHeight="false" outlineLevel="0" collapsed="false">
      <c r="C58" s="12" t="s">
        <v>5</v>
      </c>
      <c r="D58" s="13" t="n">
        <v>2601201</v>
      </c>
      <c r="E58" s="13" t="n">
        <v>2018</v>
      </c>
      <c r="F58" s="12" t="s">
        <v>51</v>
      </c>
      <c r="G58" s="12" t="s">
        <v>116</v>
      </c>
      <c r="H58" s="12" t="s">
        <v>47</v>
      </c>
      <c r="I58" s="12" t="s">
        <v>48</v>
      </c>
      <c r="J58" s="12" t="s">
        <v>49</v>
      </c>
      <c r="K58" s="12" t="s">
        <v>52</v>
      </c>
      <c r="L58" s="14" t="n">
        <v>12079304.46</v>
      </c>
      <c r="M58" s="12" t="s">
        <v>79</v>
      </c>
    </row>
    <row r="59" customFormat="false" ht="15" hidden="false" customHeight="false" outlineLevel="0" collapsed="false">
      <c r="C59" s="12" t="s">
        <v>5</v>
      </c>
      <c r="D59" s="13" t="n">
        <v>2601201</v>
      </c>
      <c r="E59" s="13" t="n">
        <v>2018</v>
      </c>
      <c r="F59" s="12" t="s">
        <v>53</v>
      </c>
      <c r="G59" s="12" t="s">
        <v>116</v>
      </c>
      <c r="H59" s="12" t="s">
        <v>54</v>
      </c>
      <c r="I59" s="12" t="s">
        <v>55</v>
      </c>
      <c r="J59" s="12" t="s">
        <v>56</v>
      </c>
      <c r="K59" s="12" t="s">
        <v>57</v>
      </c>
      <c r="L59" s="14" t="n">
        <v>149086022.77</v>
      </c>
      <c r="M59" s="12" t="s">
        <v>79</v>
      </c>
    </row>
    <row r="60" customFormat="false" ht="15" hidden="false" customHeight="false" outlineLevel="0" collapsed="false">
      <c r="C60" s="12" t="s">
        <v>5</v>
      </c>
      <c r="D60" s="13" t="n">
        <v>2601201</v>
      </c>
      <c r="E60" s="13" t="n">
        <v>2018</v>
      </c>
      <c r="F60" s="12" t="s">
        <v>58</v>
      </c>
      <c r="G60" s="12" t="s">
        <v>116</v>
      </c>
      <c r="H60" s="12" t="s">
        <v>54</v>
      </c>
      <c r="I60" s="12" t="s">
        <v>55</v>
      </c>
      <c r="J60" s="12" t="s">
        <v>56</v>
      </c>
      <c r="K60" s="12" t="s">
        <v>59</v>
      </c>
      <c r="L60" s="14" t="n">
        <v>149086022.77</v>
      </c>
      <c r="M60" s="12" t="s">
        <v>79</v>
      </c>
    </row>
    <row r="61" customFormat="false" ht="15" hidden="false" customHeight="false" outlineLevel="0" collapsed="false">
      <c r="C61" s="12" t="s">
        <v>5</v>
      </c>
      <c r="D61" s="13" t="n">
        <v>2601201</v>
      </c>
      <c r="E61" s="13" t="n">
        <v>2018</v>
      </c>
      <c r="F61" s="12" t="s">
        <v>60</v>
      </c>
      <c r="G61" s="12" t="s">
        <v>116</v>
      </c>
      <c r="H61" s="12" t="s">
        <v>54</v>
      </c>
      <c r="I61" s="12" t="s">
        <v>55</v>
      </c>
      <c r="J61" s="12" t="s">
        <v>56</v>
      </c>
      <c r="K61" s="12" t="s">
        <v>61</v>
      </c>
      <c r="L61" s="14" t="n">
        <v>140057247.92</v>
      </c>
      <c r="M61" s="12" t="s">
        <v>79</v>
      </c>
    </row>
    <row r="62" customFormat="false" ht="15" hidden="false" customHeight="false" outlineLevel="0" collapsed="false">
      <c r="C62" s="12" t="s">
        <v>5</v>
      </c>
      <c r="D62" s="13" t="n">
        <v>2601201</v>
      </c>
      <c r="E62" s="13" t="n">
        <v>2018</v>
      </c>
      <c r="F62" s="12" t="s">
        <v>80</v>
      </c>
      <c r="G62" s="12" t="s">
        <v>116</v>
      </c>
      <c r="H62" s="12" t="s">
        <v>81</v>
      </c>
      <c r="I62" s="12" t="s">
        <v>55</v>
      </c>
      <c r="J62" s="12" t="s">
        <v>82</v>
      </c>
      <c r="K62" s="12" t="s">
        <v>57</v>
      </c>
      <c r="L62" s="14" t="n">
        <v>142643645.99</v>
      </c>
      <c r="M62" s="12" t="s">
        <v>83</v>
      </c>
    </row>
    <row r="63" customFormat="false" ht="15" hidden="false" customHeight="false" outlineLevel="0" collapsed="false">
      <c r="C63" s="12" t="s">
        <v>5</v>
      </c>
      <c r="D63" s="13" t="n">
        <v>2601201</v>
      </c>
      <c r="E63" s="13" t="n">
        <v>2018</v>
      </c>
      <c r="F63" s="12" t="s">
        <v>84</v>
      </c>
      <c r="G63" s="12" t="s">
        <v>116</v>
      </c>
      <c r="H63" s="12" t="s">
        <v>81</v>
      </c>
      <c r="I63" s="12" t="s">
        <v>55</v>
      </c>
      <c r="J63" s="12" t="s">
        <v>82</v>
      </c>
      <c r="K63" s="12" t="s">
        <v>59</v>
      </c>
      <c r="L63" s="14" t="n">
        <v>142643645.99</v>
      </c>
      <c r="M63" s="12" t="s">
        <v>83</v>
      </c>
    </row>
    <row r="64" customFormat="false" ht="15" hidden="false" customHeight="false" outlineLevel="0" collapsed="false">
      <c r="C64" s="12" t="s">
        <v>5</v>
      </c>
      <c r="D64" s="13" t="n">
        <v>2601201</v>
      </c>
      <c r="E64" s="13" t="n">
        <v>2018</v>
      </c>
      <c r="F64" s="12" t="s">
        <v>85</v>
      </c>
      <c r="G64" s="12" t="s">
        <v>116</v>
      </c>
      <c r="H64" s="12" t="s">
        <v>81</v>
      </c>
      <c r="I64" s="12" t="s">
        <v>55</v>
      </c>
      <c r="J64" s="12" t="s">
        <v>82</v>
      </c>
      <c r="K64" s="12" t="s">
        <v>61</v>
      </c>
      <c r="L64" s="14" t="n">
        <v>134277178.21</v>
      </c>
      <c r="M64" s="12" t="s">
        <v>83</v>
      </c>
    </row>
    <row r="65" customFormat="false" ht="15" hidden="false" customHeight="false" outlineLevel="0" collapsed="false">
      <c r="C65" s="12" t="s">
        <v>5</v>
      </c>
      <c r="D65" s="13" t="n">
        <v>2601201</v>
      </c>
      <c r="E65" s="13" t="n">
        <v>2018</v>
      </c>
      <c r="F65" s="12" t="s">
        <v>62</v>
      </c>
      <c r="G65" s="12" t="s">
        <v>116</v>
      </c>
      <c r="H65" s="12" t="s">
        <v>47</v>
      </c>
      <c r="I65" s="12" t="s">
        <v>117</v>
      </c>
      <c r="J65" s="12" t="s">
        <v>118</v>
      </c>
      <c r="K65" s="12" t="s">
        <v>50</v>
      </c>
      <c r="L65" s="14" t="n">
        <v>13412964.41</v>
      </c>
      <c r="M65" s="12" t="s">
        <v>79</v>
      </c>
    </row>
    <row r="66" customFormat="false" ht="15" hidden="false" customHeight="false" outlineLevel="0" collapsed="false">
      <c r="C66" s="12" t="s">
        <v>5</v>
      </c>
      <c r="D66" s="13" t="n">
        <v>2601201</v>
      </c>
      <c r="E66" s="13" t="n">
        <v>2018</v>
      </c>
      <c r="F66" s="12" t="s">
        <v>65</v>
      </c>
      <c r="G66" s="12" t="s">
        <v>116</v>
      </c>
      <c r="H66" s="12" t="s">
        <v>47</v>
      </c>
      <c r="I66" s="12" t="s">
        <v>119</v>
      </c>
      <c r="J66" s="12" t="s">
        <v>120</v>
      </c>
      <c r="K66" s="12" t="s">
        <v>50</v>
      </c>
      <c r="L66" s="14" t="n">
        <v>114751227.41</v>
      </c>
      <c r="M66" s="12" t="s">
        <v>79</v>
      </c>
    </row>
    <row r="67" customFormat="false" ht="15" hidden="false" customHeight="false" outlineLevel="0" collapsed="false">
      <c r="C67" s="12" t="s">
        <v>5</v>
      </c>
      <c r="D67" s="13" t="n">
        <v>2601201</v>
      </c>
      <c r="E67" s="13" t="n">
        <v>2018</v>
      </c>
      <c r="F67" s="12" t="s">
        <v>68</v>
      </c>
      <c r="G67" s="12" t="s">
        <v>116</v>
      </c>
      <c r="H67" s="12" t="s">
        <v>47</v>
      </c>
      <c r="I67" s="12" t="s">
        <v>121</v>
      </c>
      <c r="J67" s="12" t="s">
        <v>122</v>
      </c>
      <c r="K67" s="12" t="s">
        <v>50</v>
      </c>
      <c r="L67" s="14" t="n">
        <v>2459223.06</v>
      </c>
      <c r="M67" s="12" t="s">
        <v>79</v>
      </c>
    </row>
    <row r="68" customFormat="false" ht="15" hidden="false" customHeight="false" outlineLevel="0" collapsed="false">
      <c r="C68" s="12" t="s">
        <v>5</v>
      </c>
      <c r="D68" s="13" t="n">
        <v>2601201</v>
      </c>
      <c r="E68" s="13" t="n">
        <v>2018</v>
      </c>
      <c r="F68" s="12" t="s">
        <v>71</v>
      </c>
      <c r="G68" s="12" t="s">
        <v>116</v>
      </c>
      <c r="H68" s="12" t="s">
        <v>47</v>
      </c>
      <c r="I68" s="12" t="s">
        <v>123</v>
      </c>
      <c r="J68" s="12" t="s">
        <v>124</v>
      </c>
      <c r="K68" s="12" t="s">
        <v>50</v>
      </c>
      <c r="L68" s="14" t="n">
        <v>65307332.49</v>
      </c>
      <c r="M68" s="12" t="s">
        <v>79</v>
      </c>
    </row>
    <row r="69" customFormat="false" ht="15" hidden="false" customHeight="false" outlineLevel="0" collapsed="false">
      <c r="C69" s="12" t="s">
        <v>5</v>
      </c>
      <c r="D69" s="13" t="n">
        <v>2601201</v>
      </c>
      <c r="E69" s="13" t="n">
        <v>2018</v>
      </c>
      <c r="F69" s="12" t="s">
        <v>71</v>
      </c>
      <c r="G69" s="12" t="s">
        <v>116</v>
      </c>
      <c r="H69" s="12" t="s">
        <v>47</v>
      </c>
      <c r="I69" s="12" t="s">
        <v>125</v>
      </c>
      <c r="J69" s="12" t="s">
        <v>126</v>
      </c>
      <c r="K69" s="12" t="s">
        <v>50</v>
      </c>
      <c r="L69" s="14" t="n">
        <v>25079048.75</v>
      </c>
      <c r="M69" s="12" t="s">
        <v>79</v>
      </c>
    </row>
    <row r="70" customFormat="false" ht="15" hidden="false" customHeight="false" outlineLevel="0" collapsed="false">
      <c r="C70" s="12" t="s">
        <v>5</v>
      </c>
      <c r="D70" s="13" t="n">
        <v>2601201</v>
      </c>
      <c r="E70" s="13" t="n">
        <v>2018</v>
      </c>
      <c r="F70" s="12" t="s">
        <v>74</v>
      </c>
      <c r="G70" s="12" t="s">
        <v>116</v>
      </c>
      <c r="H70" s="12" t="s">
        <v>47</v>
      </c>
      <c r="I70" s="12" t="s">
        <v>127</v>
      </c>
      <c r="J70" s="12" t="s">
        <v>128</v>
      </c>
      <c r="K70" s="12" t="s">
        <v>50</v>
      </c>
      <c r="L70" s="14" t="n">
        <v>1870624</v>
      </c>
      <c r="M70" s="12" t="s">
        <v>79</v>
      </c>
    </row>
    <row r="71" customFormat="false" ht="15" hidden="false" customHeight="false" outlineLevel="0" collapsed="false">
      <c r="C71" s="12" t="s">
        <v>5</v>
      </c>
      <c r="D71" s="13" t="n">
        <v>2601201</v>
      </c>
      <c r="E71" s="13" t="n">
        <v>2018</v>
      </c>
      <c r="F71" s="12" t="s">
        <v>74</v>
      </c>
      <c r="G71" s="12" t="s">
        <v>116</v>
      </c>
      <c r="H71" s="12" t="s">
        <v>47</v>
      </c>
      <c r="I71" s="12" t="s">
        <v>129</v>
      </c>
      <c r="J71" s="12" t="s">
        <v>130</v>
      </c>
      <c r="K71" s="12" t="s">
        <v>50</v>
      </c>
      <c r="L71" s="14" t="n">
        <v>588599.06</v>
      </c>
      <c r="M71" s="12" t="s">
        <v>79</v>
      </c>
    </row>
    <row r="72" customFormat="false" ht="15" hidden="false" customHeight="false" outlineLevel="0" collapsed="false">
      <c r="C72" s="12" t="s">
        <v>5</v>
      </c>
      <c r="D72" s="13" t="n">
        <v>2601201</v>
      </c>
      <c r="E72" s="13" t="n">
        <v>2018</v>
      </c>
      <c r="F72" s="12" t="s">
        <v>86</v>
      </c>
      <c r="G72" s="12" t="s">
        <v>116</v>
      </c>
      <c r="H72" s="12" t="s">
        <v>81</v>
      </c>
      <c r="I72" s="12" t="s">
        <v>55</v>
      </c>
      <c r="J72" s="12" t="s">
        <v>87</v>
      </c>
      <c r="K72" s="12" t="s">
        <v>57</v>
      </c>
      <c r="L72" s="14" t="n">
        <v>5188205.22</v>
      </c>
      <c r="M72" s="12" t="s">
        <v>83</v>
      </c>
    </row>
    <row r="73" customFormat="false" ht="15" hidden="false" customHeight="false" outlineLevel="0" collapsed="false">
      <c r="C73" s="12" t="s">
        <v>5</v>
      </c>
      <c r="D73" s="13" t="n">
        <v>2601201</v>
      </c>
      <c r="E73" s="13" t="n">
        <v>2018</v>
      </c>
      <c r="F73" s="12" t="s">
        <v>88</v>
      </c>
      <c r="G73" s="12" t="s">
        <v>116</v>
      </c>
      <c r="H73" s="12" t="s">
        <v>81</v>
      </c>
      <c r="I73" s="12" t="s">
        <v>55</v>
      </c>
      <c r="J73" s="12" t="s">
        <v>89</v>
      </c>
      <c r="K73" s="12" t="s">
        <v>57</v>
      </c>
      <c r="L73" s="14" t="n">
        <v>29478695.42</v>
      </c>
      <c r="M73" s="12" t="s">
        <v>83</v>
      </c>
    </row>
    <row r="74" customFormat="false" ht="15" hidden="false" customHeight="false" outlineLevel="0" collapsed="false">
      <c r="C74" s="12" t="s">
        <v>5</v>
      </c>
      <c r="D74" s="13" t="n">
        <v>2601201</v>
      </c>
      <c r="E74" s="13" t="n">
        <v>2018</v>
      </c>
      <c r="F74" s="12" t="s">
        <v>131</v>
      </c>
      <c r="G74" s="12" t="s">
        <v>116</v>
      </c>
      <c r="H74" s="12" t="s">
        <v>81</v>
      </c>
      <c r="I74" s="12" t="s">
        <v>55</v>
      </c>
      <c r="J74" s="12" t="s">
        <v>132</v>
      </c>
      <c r="K74" s="12" t="s">
        <v>57</v>
      </c>
      <c r="L74" s="14" t="n">
        <v>1016.26</v>
      </c>
      <c r="M74" s="12" t="s">
        <v>83</v>
      </c>
    </row>
    <row r="75" customFormat="false" ht="15" hidden="false" customHeight="false" outlineLevel="0" collapsed="false">
      <c r="C75" s="12" t="s">
        <v>5</v>
      </c>
      <c r="D75" s="13" t="n">
        <v>2601201</v>
      </c>
      <c r="E75" s="13" t="n">
        <v>2018</v>
      </c>
      <c r="F75" s="12" t="s">
        <v>90</v>
      </c>
      <c r="G75" s="12" t="s">
        <v>116</v>
      </c>
      <c r="H75" s="12" t="s">
        <v>81</v>
      </c>
      <c r="I75" s="12" t="s">
        <v>55</v>
      </c>
      <c r="J75" s="12" t="s">
        <v>91</v>
      </c>
      <c r="K75" s="12" t="s">
        <v>57</v>
      </c>
      <c r="L75" s="14" t="n">
        <v>4227734.41</v>
      </c>
      <c r="M75" s="12" t="s">
        <v>83</v>
      </c>
    </row>
    <row r="76" customFormat="false" ht="15" hidden="false" customHeight="false" outlineLevel="0" collapsed="false">
      <c r="C76" s="12" t="s">
        <v>5</v>
      </c>
      <c r="D76" s="13" t="n">
        <v>2601201</v>
      </c>
      <c r="E76" s="13" t="n">
        <v>2018</v>
      </c>
      <c r="F76" s="12" t="s">
        <v>92</v>
      </c>
      <c r="G76" s="12" t="s">
        <v>116</v>
      </c>
      <c r="H76" s="12" t="s">
        <v>81</v>
      </c>
      <c r="I76" s="12" t="s">
        <v>55</v>
      </c>
      <c r="J76" s="12" t="s">
        <v>93</v>
      </c>
      <c r="K76" s="12" t="s">
        <v>57</v>
      </c>
      <c r="L76" s="14" t="n">
        <v>16270180.36</v>
      </c>
      <c r="M76" s="12" t="s">
        <v>83</v>
      </c>
    </row>
    <row r="77" customFormat="false" ht="15" hidden="false" customHeight="false" outlineLevel="0" collapsed="false">
      <c r="C77" s="12" t="s">
        <v>5</v>
      </c>
      <c r="D77" s="13" t="n">
        <v>2601201</v>
      </c>
      <c r="E77" s="13" t="n">
        <v>2018</v>
      </c>
      <c r="F77" s="12" t="s">
        <v>94</v>
      </c>
      <c r="G77" s="12" t="s">
        <v>116</v>
      </c>
      <c r="H77" s="12" t="s">
        <v>81</v>
      </c>
      <c r="I77" s="12" t="s">
        <v>55</v>
      </c>
      <c r="J77" s="12" t="s">
        <v>95</v>
      </c>
      <c r="K77" s="12" t="s">
        <v>57</v>
      </c>
      <c r="L77" s="14" t="n">
        <v>33290586.41</v>
      </c>
      <c r="M77" s="12" t="s">
        <v>83</v>
      </c>
    </row>
    <row r="78" customFormat="false" ht="15" hidden="false" customHeight="false" outlineLevel="0" collapsed="false">
      <c r="C78" s="12" t="s">
        <v>5</v>
      </c>
      <c r="D78" s="13" t="n">
        <v>2601201</v>
      </c>
      <c r="E78" s="13" t="n">
        <v>2018</v>
      </c>
      <c r="F78" s="12" t="s">
        <v>96</v>
      </c>
      <c r="G78" s="12" t="s">
        <v>116</v>
      </c>
      <c r="H78" s="12" t="s">
        <v>81</v>
      </c>
      <c r="I78" s="12" t="s">
        <v>55</v>
      </c>
      <c r="J78" s="12" t="s">
        <v>97</v>
      </c>
      <c r="K78" s="12" t="s">
        <v>57</v>
      </c>
      <c r="L78" s="14" t="n">
        <v>3730.5</v>
      </c>
      <c r="M78" s="12" t="s">
        <v>83</v>
      </c>
    </row>
    <row r="79" customFormat="false" ht="15" hidden="false" customHeight="false" outlineLevel="0" collapsed="false">
      <c r="C79" s="12" t="s">
        <v>5</v>
      </c>
      <c r="D79" s="13" t="n">
        <v>2601201</v>
      </c>
      <c r="E79" s="13" t="n">
        <v>2018</v>
      </c>
      <c r="F79" s="12" t="s">
        <v>98</v>
      </c>
      <c r="G79" s="12" t="s">
        <v>116</v>
      </c>
      <c r="H79" s="12" t="s">
        <v>81</v>
      </c>
      <c r="I79" s="12" t="s">
        <v>55</v>
      </c>
      <c r="J79" s="12" t="s">
        <v>99</v>
      </c>
      <c r="K79" s="12" t="s">
        <v>57</v>
      </c>
      <c r="L79" s="14" t="n">
        <v>40700972.52</v>
      </c>
      <c r="M79" s="12" t="s">
        <v>83</v>
      </c>
    </row>
    <row r="80" customFormat="false" ht="15" hidden="false" customHeight="false" outlineLevel="0" collapsed="false">
      <c r="C80" s="12" t="s">
        <v>5</v>
      </c>
      <c r="D80" s="13" t="n">
        <v>2601201</v>
      </c>
      <c r="E80" s="13" t="n">
        <v>2018</v>
      </c>
      <c r="F80" s="12" t="s">
        <v>133</v>
      </c>
      <c r="G80" s="12" t="s">
        <v>116</v>
      </c>
      <c r="H80" s="12" t="s">
        <v>81</v>
      </c>
      <c r="I80" s="12" t="s">
        <v>55</v>
      </c>
      <c r="J80" s="12" t="s">
        <v>134</v>
      </c>
      <c r="K80" s="12" t="s">
        <v>57</v>
      </c>
      <c r="L80" s="14" t="n">
        <v>44.4</v>
      </c>
      <c r="M80" s="12" t="s">
        <v>83</v>
      </c>
    </row>
    <row r="81" customFormat="false" ht="15" hidden="false" customHeight="false" outlineLevel="0" collapsed="false">
      <c r="C81" s="12" t="s">
        <v>5</v>
      </c>
      <c r="D81" s="13" t="n">
        <v>2601201</v>
      </c>
      <c r="E81" s="13" t="n">
        <v>2018</v>
      </c>
      <c r="F81" s="12" t="s">
        <v>102</v>
      </c>
      <c r="G81" s="12" t="s">
        <v>116</v>
      </c>
      <c r="H81" s="12" t="s">
        <v>81</v>
      </c>
      <c r="I81" s="12" t="s">
        <v>55</v>
      </c>
      <c r="J81" s="12" t="s">
        <v>103</v>
      </c>
      <c r="K81" s="12" t="s">
        <v>57</v>
      </c>
      <c r="L81" s="14" t="n">
        <v>8777919.38</v>
      </c>
      <c r="M81" s="12" t="s">
        <v>83</v>
      </c>
    </row>
    <row r="82" customFormat="false" ht="15" hidden="false" customHeight="false" outlineLevel="0" collapsed="false">
      <c r="C82" s="12" t="s">
        <v>5</v>
      </c>
      <c r="D82" s="13" t="n">
        <v>2601201</v>
      </c>
      <c r="E82" s="13" t="n">
        <v>2018</v>
      </c>
      <c r="F82" s="12" t="s">
        <v>106</v>
      </c>
      <c r="G82" s="12" t="s">
        <v>116</v>
      </c>
      <c r="H82" s="12" t="s">
        <v>81</v>
      </c>
      <c r="I82" s="12" t="s">
        <v>55</v>
      </c>
      <c r="J82" s="12" t="s">
        <v>107</v>
      </c>
      <c r="K82" s="12" t="s">
        <v>57</v>
      </c>
      <c r="L82" s="14" t="n">
        <v>1331386.57</v>
      </c>
      <c r="M82" s="12" t="s">
        <v>83</v>
      </c>
    </row>
    <row r="83" customFormat="false" ht="15" hidden="false" customHeight="false" outlineLevel="0" collapsed="false">
      <c r="C83" s="12" t="s">
        <v>5</v>
      </c>
      <c r="D83" s="13" t="n">
        <v>2601201</v>
      </c>
      <c r="E83" s="13" t="n">
        <v>2018</v>
      </c>
      <c r="F83" s="12" t="s">
        <v>108</v>
      </c>
      <c r="G83" s="12" t="s">
        <v>116</v>
      </c>
      <c r="H83" s="12" t="s">
        <v>81</v>
      </c>
      <c r="I83" s="12" t="s">
        <v>55</v>
      </c>
      <c r="J83" s="12" t="s">
        <v>109</v>
      </c>
      <c r="K83" s="12" t="s">
        <v>57</v>
      </c>
      <c r="L83" s="14" t="n">
        <v>203126.5</v>
      </c>
      <c r="M83" s="12" t="s">
        <v>83</v>
      </c>
    </row>
    <row r="84" customFormat="false" ht="15" hidden="false" customHeight="false" outlineLevel="0" collapsed="false">
      <c r="C84" s="12" t="s">
        <v>5</v>
      </c>
      <c r="D84" s="13" t="n">
        <v>2601201</v>
      </c>
      <c r="E84" s="13" t="n">
        <v>2018</v>
      </c>
      <c r="F84" s="12" t="s">
        <v>110</v>
      </c>
      <c r="G84" s="12" t="s">
        <v>116</v>
      </c>
      <c r="H84" s="12" t="s">
        <v>81</v>
      </c>
      <c r="I84" s="12" t="s">
        <v>55</v>
      </c>
      <c r="J84" s="12" t="s">
        <v>111</v>
      </c>
      <c r="K84" s="12" t="s">
        <v>57</v>
      </c>
      <c r="L84" s="14" t="n">
        <v>1866665.33</v>
      </c>
      <c r="M84" s="12" t="s">
        <v>83</v>
      </c>
    </row>
    <row r="85" customFormat="false" ht="15" hidden="false" customHeight="false" outlineLevel="0" collapsed="false">
      <c r="C85" s="12" t="s">
        <v>5</v>
      </c>
      <c r="D85" s="13" t="n">
        <v>2601201</v>
      </c>
      <c r="E85" s="13" t="n">
        <v>2018</v>
      </c>
      <c r="F85" s="12" t="s">
        <v>135</v>
      </c>
      <c r="G85" s="12" t="s">
        <v>116</v>
      </c>
      <c r="H85" s="12" t="s">
        <v>81</v>
      </c>
      <c r="I85" s="12" t="s">
        <v>55</v>
      </c>
      <c r="J85" s="12" t="s">
        <v>136</v>
      </c>
      <c r="K85" s="12" t="s">
        <v>57</v>
      </c>
      <c r="L85" s="14" t="n">
        <v>44.13</v>
      </c>
      <c r="M85" s="12" t="s">
        <v>83</v>
      </c>
    </row>
    <row r="86" customFormat="false" ht="15" hidden="false" customHeight="false" outlineLevel="0" collapsed="false">
      <c r="C86" s="12" t="s">
        <v>5</v>
      </c>
      <c r="D86" s="13" t="n">
        <v>2601201</v>
      </c>
      <c r="E86" s="13" t="n">
        <v>2018</v>
      </c>
      <c r="F86" s="12" t="s">
        <v>112</v>
      </c>
      <c r="G86" s="12" t="s">
        <v>116</v>
      </c>
      <c r="H86" s="12" t="s">
        <v>81</v>
      </c>
      <c r="I86" s="12" t="s">
        <v>55</v>
      </c>
      <c r="J86" s="12" t="s">
        <v>113</v>
      </c>
      <c r="K86" s="12" t="s">
        <v>57</v>
      </c>
      <c r="L86" s="14" t="n">
        <v>141099.7</v>
      </c>
      <c r="M86" s="12" t="s">
        <v>83</v>
      </c>
    </row>
    <row r="87" customFormat="false" ht="15" hidden="false" customHeight="false" outlineLevel="0" collapsed="false">
      <c r="C87" s="12" t="s">
        <v>5</v>
      </c>
      <c r="D87" s="13" t="n">
        <v>2601201</v>
      </c>
      <c r="E87" s="13" t="n">
        <v>2018</v>
      </c>
      <c r="F87" s="12" t="s">
        <v>137</v>
      </c>
      <c r="G87" s="12" t="s">
        <v>116</v>
      </c>
      <c r="H87" s="12" t="s">
        <v>81</v>
      </c>
      <c r="I87" s="12" t="s">
        <v>55</v>
      </c>
      <c r="J87" s="12" t="s">
        <v>138</v>
      </c>
      <c r="K87" s="12" t="s">
        <v>57</v>
      </c>
      <c r="L87" s="14" t="n">
        <v>163589.16</v>
      </c>
      <c r="M87" s="12" t="s">
        <v>83</v>
      </c>
    </row>
    <row r="88" customFormat="false" ht="15" hidden="false" customHeight="false" outlineLevel="0" collapsed="false">
      <c r="C88" s="12" t="s">
        <v>5</v>
      </c>
      <c r="D88" s="13" t="n">
        <v>2601201</v>
      </c>
      <c r="E88" s="13" t="n">
        <v>2018</v>
      </c>
      <c r="F88" s="12" t="s">
        <v>114</v>
      </c>
      <c r="G88" s="12" t="s">
        <v>116</v>
      </c>
      <c r="H88" s="12" t="s">
        <v>81</v>
      </c>
      <c r="I88" s="12" t="s">
        <v>55</v>
      </c>
      <c r="J88" s="12" t="s">
        <v>115</v>
      </c>
      <c r="K88" s="12" t="s">
        <v>57</v>
      </c>
      <c r="L88" s="14" t="n">
        <v>998649.72</v>
      </c>
      <c r="M88" s="12" t="s">
        <v>83</v>
      </c>
    </row>
    <row r="89" customFormat="false" ht="15" hidden="false" customHeight="false" outlineLevel="0" collapsed="false">
      <c r="C89" s="12" t="s">
        <v>5</v>
      </c>
      <c r="D89" s="13" t="n">
        <v>2601201</v>
      </c>
      <c r="E89" s="13" t="n">
        <v>2019</v>
      </c>
      <c r="F89" s="12" t="s">
        <v>45</v>
      </c>
      <c r="G89" s="12" t="s">
        <v>139</v>
      </c>
      <c r="H89" s="12" t="s">
        <v>47</v>
      </c>
      <c r="I89" s="12" t="s">
        <v>48</v>
      </c>
      <c r="J89" s="12" t="s">
        <v>140</v>
      </c>
      <c r="K89" s="12" t="s">
        <v>50</v>
      </c>
      <c r="L89" s="14" t="n">
        <v>175825315.89</v>
      </c>
      <c r="M89" s="12" t="s">
        <v>79</v>
      </c>
    </row>
    <row r="90" customFormat="false" ht="15" hidden="false" customHeight="false" outlineLevel="0" collapsed="false">
      <c r="C90" s="12" t="s">
        <v>5</v>
      </c>
      <c r="D90" s="13" t="n">
        <v>2601201</v>
      </c>
      <c r="E90" s="13" t="n">
        <v>2019</v>
      </c>
      <c r="F90" s="12" t="s">
        <v>51</v>
      </c>
      <c r="G90" s="12" t="s">
        <v>139</v>
      </c>
      <c r="H90" s="12" t="s">
        <v>47</v>
      </c>
      <c r="I90" s="12" t="s">
        <v>48</v>
      </c>
      <c r="J90" s="12" t="s">
        <v>140</v>
      </c>
      <c r="K90" s="12" t="s">
        <v>52</v>
      </c>
      <c r="L90" s="14" t="n">
        <v>13092007.87</v>
      </c>
      <c r="M90" s="12" t="s">
        <v>79</v>
      </c>
    </row>
    <row r="91" customFormat="false" ht="15" hidden="false" customHeight="false" outlineLevel="0" collapsed="false">
      <c r="C91" s="12" t="s">
        <v>5</v>
      </c>
      <c r="D91" s="13" t="n">
        <v>2601201</v>
      </c>
      <c r="E91" s="13" t="n">
        <v>2019</v>
      </c>
      <c r="F91" s="12" t="s">
        <v>53</v>
      </c>
      <c r="G91" s="12" t="s">
        <v>139</v>
      </c>
      <c r="H91" s="12" t="s">
        <v>54</v>
      </c>
      <c r="I91" s="12" t="s">
        <v>55</v>
      </c>
      <c r="J91" s="12" t="s">
        <v>56</v>
      </c>
      <c r="K91" s="12" t="s">
        <v>57</v>
      </c>
      <c r="L91" s="14" t="n">
        <v>161175792.5</v>
      </c>
      <c r="M91" s="12" t="s">
        <v>79</v>
      </c>
    </row>
    <row r="92" customFormat="false" ht="15" hidden="false" customHeight="false" outlineLevel="0" collapsed="false">
      <c r="C92" s="12" t="s">
        <v>5</v>
      </c>
      <c r="D92" s="13" t="n">
        <v>2601201</v>
      </c>
      <c r="E92" s="13" t="n">
        <v>2019</v>
      </c>
      <c r="F92" s="12" t="s">
        <v>58</v>
      </c>
      <c r="G92" s="12" t="s">
        <v>139</v>
      </c>
      <c r="H92" s="12" t="s">
        <v>54</v>
      </c>
      <c r="I92" s="12" t="s">
        <v>55</v>
      </c>
      <c r="J92" s="12" t="s">
        <v>56</v>
      </c>
      <c r="K92" s="12" t="s">
        <v>59</v>
      </c>
      <c r="L92" s="14" t="n">
        <v>161175792.5</v>
      </c>
      <c r="M92" s="12" t="s">
        <v>79</v>
      </c>
    </row>
    <row r="93" customFormat="false" ht="15" hidden="false" customHeight="false" outlineLevel="0" collapsed="false">
      <c r="C93" s="12" t="s">
        <v>5</v>
      </c>
      <c r="D93" s="13" t="n">
        <v>2601201</v>
      </c>
      <c r="E93" s="13" t="n">
        <v>2019</v>
      </c>
      <c r="F93" s="12" t="s">
        <v>60</v>
      </c>
      <c r="G93" s="12" t="s">
        <v>139</v>
      </c>
      <c r="H93" s="12" t="s">
        <v>54</v>
      </c>
      <c r="I93" s="12" t="s">
        <v>55</v>
      </c>
      <c r="J93" s="12" t="s">
        <v>56</v>
      </c>
      <c r="K93" s="12" t="s">
        <v>61</v>
      </c>
      <c r="L93" s="14" t="n">
        <v>154462878.53</v>
      </c>
      <c r="M93" s="12" t="s">
        <v>79</v>
      </c>
    </row>
    <row r="94" customFormat="false" ht="15" hidden="false" customHeight="false" outlineLevel="0" collapsed="false">
      <c r="C94" s="12" t="s">
        <v>5</v>
      </c>
      <c r="D94" s="13" t="n">
        <v>2601201</v>
      </c>
      <c r="E94" s="13" t="n">
        <v>2019</v>
      </c>
      <c r="F94" s="12" t="s">
        <v>80</v>
      </c>
      <c r="G94" s="12" t="s">
        <v>139</v>
      </c>
      <c r="H94" s="12" t="s">
        <v>81</v>
      </c>
      <c r="I94" s="12" t="s">
        <v>55</v>
      </c>
      <c r="J94" s="12" t="s">
        <v>82</v>
      </c>
      <c r="K94" s="12" t="s">
        <v>57</v>
      </c>
      <c r="L94" s="14" t="n">
        <v>154473795.18</v>
      </c>
      <c r="M94" s="12" t="s">
        <v>83</v>
      </c>
    </row>
    <row r="95" customFormat="false" ht="15" hidden="false" customHeight="false" outlineLevel="0" collapsed="false">
      <c r="C95" s="12" t="s">
        <v>5</v>
      </c>
      <c r="D95" s="13" t="n">
        <v>2601201</v>
      </c>
      <c r="E95" s="13" t="n">
        <v>2019</v>
      </c>
      <c r="F95" s="12" t="s">
        <v>84</v>
      </c>
      <c r="G95" s="12" t="s">
        <v>139</v>
      </c>
      <c r="H95" s="12" t="s">
        <v>81</v>
      </c>
      <c r="I95" s="12" t="s">
        <v>55</v>
      </c>
      <c r="J95" s="12" t="s">
        <v>82</v>
      </c>
      <c r="K95" s="12" t="s">
        <v>59</v>
      </c>
      <c r="L95" s="14" t="n">
        <v>154473795.18</v>
      </c>
      <c r="M95" s="12" t="s">
        <v>83</v>
      </c>
    </row>
    <row r="96" customFormat="false" ht="15" hidden="false" customHeight="false" outlineLevel="0" collapsed="false">
      <c r="C96" s="12" t="s">
        <v>5</v>
      </c>
      <c r="D96" s="13" t="n">
        <v>2601201</v>
      </c>
      <c r="E96" s="13" t="n">
        <v>2019</v>
      </c>
      <c r="F96" s="12" t="s">
        <v>85</v>
      </c>
      <c r="G96" s="12" t="s">
        <v>139</v>
      </c>
      <c r="H96" s="12" t="s">
        <v>81</v>
      </c>
      <c r="I96" s="12" t="s">
        <v>55</v>
      </c>
      <c r="J96" s="12" t="s">
        <v>82</v>
      </c>
      <c r="K96" s="12" t="s">
        <v>61</v>
      </c>
      <c r="L96" s="14" t="n">
        <v>148275381.92</v>
      </c>
      <c r="M96" s="12" t="s">
        <v>83</v>
      </c>
    </row>
    <row r="97" customFormat="false" ht="15" hidden="false" customHeight="false" outlineLevel="0" collapsed="false">
      <c r="C97" s="12" t="s">
        <v>5</v>
      </c>
      <c r="D97" s="13" t="n">
        <v>2601201</v>
      </c>
      <c r="E97" s="13" t="n">
        <v>2019</v>
      </c>
      <c r="F97" s="12" t="s">
        <v>141</v>
      </c>
      <c r="G97" s="12" t="s">
        <v>139</v>
      </c>
      <c r="H97" s="12" t="s">
        <v>47</v>
      </c>
      <c r="I97" s="12" t="s">
        <v>142</v>
      </c>
      <c r="J97" s="12" t="s">
        <v>143</v>
      </c>
      <c r="K97" s="12" t="s">
        <v>50</v>
      </c>
      <c r="L97" s="14" t="n">
        <v>6899889.58</v>
      </c>
      <c r="M97" s="12" t="s">
        <v>79</v>
      </c>
    </row>
    <row r="98" customFormat="false" ht="15" hidden="false" customHeight="false" outlineLevel="0" collapsed="false">
      <c r="C98" s="12" t="s">
        <v>5</v>
      </c>
      <c r="D98" s="13" t="n">
        <v>2601201</v>
      </c>
      <c r="E98" s="13" t="n">
        <v>2019</v>
      </c>
      <c r="F98" s="12" t="s">
        <v>144</v>
      </c>
      <c r="G98" s="12" t="s">
        <v>139</v>
      </c>
      <c r="H98" s="12" t="s">
        <v>47</v>
      </c>
      <c r="I98" s="12" t="s">
        <v>145</v>
      </c>
      <c r="J98" s="12" t="s">
        <v>146</v>
      </c>
      <c r="K98" s="12" t="s">
        <v>50</v>
      </c>
      <c r="L98" s="14" t="n">
        <v>168925426.31</v>
      </c>
      <c r="M98" s="12" t="s">
        <v>79</v>
      </c>
    </row>
    <row r="99" customFormat="false" ht="15" hidden="false" customHeight="false" outlineLevel="0" collapsed="false">
      <c r="C99" s="12" t="s">
        <v>5</v>
      </c>
      <c r="D99" s="13" t="n">
        <v>2601201</v>
      </c>
      <c r="E99" s="13" t="n">
        <v>2019</v>
      </c>
      <c r="F99" s="12" t="s">
        <v>62</v>
      </c>
      <c r="G99" s="12" t="s">
        <v>139</v>
      </c>
      <c r="H99" s="12" t="s">
        <v>47</v>
      </c>
      <c r="I99" s="12" t="s">
        <v>117</v>
      </c>
      <c r="J99" s="12" t="s">
        <v>118</v>
      </c>
      <c r="K99" s="12" t="s">
        <v>50</v>
      </c>
      <c r="L99" s="14" t="n">
        <v>16534029.45</v>
      </c>
      <c r="M99" s="12" t="s">
        <v>79</v>
      </c>
    </row>
    <row r="100" customFormat="false" ht="15" hidden="false" customHeight="false" outlineLevel="0" collapsed="false">
      <c r="C100" s="12" t="s">
        <v>5</v>
      </c>
      <c r="D100" s="13" t="n">
        <v>2601201</v>
      </c>
      <c r="E100" s="13" t="n">
        <v>2019</v>
      </c>
      <c r="F100" s="12" t="s">
        <v>65</v>
      </c>
      <c r="G100" s="12" t="s">
        <v>139</v>
      </c>
      <c r="H100" s="12" t="s">
        <v>47</v>
      </c>
      <c r="I100" s="12" t="s">
        <v>119</v>
      </c>
      <c r="J100" s="12" t="s">
        <v>120</v>
      </c>
      <c r="K100" s="12" t="s">
        <v>50</v>
      </c>
      <c r="L100" s="14" t="n">
        <v>126996824.43</v>
      </c>
      <c r="M100" s="12" t="s">
        <v>79</v>
      </c>
    </row>
    <row r="101" customFormat="false" ht="15" hidden="false" customHeight="false" outlineLevel="0" collapsed="false">
      <c r="C101" s="12" t="s">
        <v>5</v>
      </c>
      <c r="D101" s="13" t="n">
        <v>2601201</v>
      </c>
      <c r="E101" s="13" t="n">
        <v>2019</v>
      </c>
      <c r="F101" s="12" t="s">
        <v>68</v>
      </c>
      <c r="G101" s="12" t="s">
        <v>139</v>
      </c>
      <c r="H101" s="12" t="s">
        <v>47</v>
      </c>
      <c r="I101" s="12" t="s">
        <v>121</v>
      </c>
      <c r="J101" s="12" t="s">
        <v>122</v>
      </c>
      <c r="K101" s="12" t="s">
        <v>50</v>
      </c>
      <c r="L101" s="14" t="n">
        <v>4427612.58</v>
      </c>
      <c r="M101" s="12" t="s">
        <v>79</v>
      </c>
    </row>
    <row r="102" customFormat="false" ht="15" hidden="false" customHeight="false" outlineLevel="0" collapsed="false">
      <c r="C102" s="12" t="s">
        <v>5</v>
      </c>
      <c r="D102" s="13" t="n">
        <v>2601201</v>
      </c>
      <c r="E102" s="13" t="n">
        <v>2019</v>
      </c>
      <c r="F102" s="12" t="s">
        <v>71</v>
      </c>
      <c r="G102" s="12" t="s">
        <v>139</v>
      </c>
      <c r="H102" s="12" t="s">
        <v>47</v>
      </c>
      <c r="I102" s="12" t="s">
        <v>123</v>
      </c>
      <c r="J102" s="12" t="s">
        <v>124</v>
      </c>
      <c r="K102" s="12" t="s">
        <v>50</v>
      </c>
      <c r="L102" s="14" t="n">
        <v>75420866.79</v>
      </c>
      <c r="M102" s="12" t="s">
        <v>79</v>
      </c>
    </row>
    <row r="103" customFormat="false" ht="15" hidden="false" customHeight="false" outlineLevel="0" collapsed="false">
      <c r="C103" s="12" t="s">
        <v>5</v>
      </c>
      <c r="D103" s="13" t="n">
        <v>2601201</v>
      </c>
      <c r="E103" s="13" t="n">
        <v>2019</v>
      </c>
      <c r="F103" s="12" t="s">
        <v>71</v>
      </c>
      <c r="G103" s="12" t="s">
        <v>139</v>
      </c>
      <c r="H103" s="12" t="s">
        <v>47</v>
      </c>
      <c r="I103" s="12" t="s">
        <v>125</v>
      </c>
      <c r="J103" s="12" t="s">
        <v>126</v>
      </c>
      <c r="K103" s="12" t="s">
        <v>50</v>
      </c>
      <c r="L103" s="14" t="n">
        <v>26788044.03</v>
      </c>
      <c r="M103" s="12" t="s">
        <v>79</v>
      </c>
    </row>
    <row r="104" customFormat="false" ht="15" hidden="false" customHeight="false" outlineLevel="0" collapsed="false">
      <c r="C104" s="12" t="s">
        <v>5</v>
      </c>
      <c r="D104" s="13" t="n">
        <v>2601201</v>
      </c>
      <c r="E104" s="13" t="n">
        <v>2019</v>
      </c>
      <c r="F104" s="12" t="s">
        <v>74</v>
      </c>
      <c r="G104" s="12" t="s">
        <v>139</v>
      </c>
      <c r="H104" s="12" t="s">
        <v>47</v>
      </c>
      <c r="I104" s="12" t="s">
        <v>127</v>
      </c>
      <c r="J104" s="12" t="s">
        <v>128</v>
      </c>
      <c r="K104" s="12" t="s">
        <v>50</v>
      </c>
      <c r="L104" s="14" t="n">
        <v>4427612.58</v>
      </c>
      <c r="M104" s="12" t="s">
        <v>79</v>
      </c>
    </row>
    <row r="105" customFormat="false" ht="15" hidden="false" customHeight="false" outlineLevel="0" collapsed="false">
      <c r="C105" s="12" t="s">
        <v>5</v>
      </c>
      <c r="D105" s="13" t="n">
        <v>2601201</v>
      </c>
      <c r="E105" s="13" t="n">
        <v>2019</v>
      </c>
      <c r="F105" s="12" t="s">
        <v>86</v>
      </c>
      <c r="G105" s="12" t="s">
        <v>139</v>
      </c>
      <c r="H105" s="12" t="s">
        <v>81</v>
      </c>
      <c r="I105" s="12" t="s">
        <v>55</v>
      </c>
      <c r="J105" s="12" t="s">
        <v>87</v>
      </c>
      <c r="K105" s="12" t="s">
        <v>57</v>
      </c>
      <c r="L105" s="14" t="n">
        <v>5442609.38</v>
      </c>
      <c r="M105" s="12" t="s">
        <v>83</v>
      </c>
    </row>
    <row r="106" customFormat="false" ht="15" hidden="false" customHeight="false" outlineLevel="0" collapsed="false">
      <c r="C106" s="12" t="s">
        <v>5</v>
      </c>
      <c r="D106" s="13" t="n">
        <v>2601201</v>
      </c>
      <c r="E106" s="13" t="n">
        <v>2019</v>
      </c>
      <c r="F106" s="12" t="s">
        <v>88</v>
      </c>
      <c r="G106" s="12" t="s">
        <v>139</v>
      </c>
      <c r="H106" s="12" t="s">
        <v>81</v>
      </c>
      <c r="I106" s="12" t="s">
        <v>55</v>
      </c>
      <c r="J106" s="12" t="s">
        <v>89</v>
      </c>
      <c r="K106" s="12" t="s">
        <v>57</v>
      </c>
      <c r="L106" s="14" t="n">
        <v>29370832.43</v>
      </c>
      <c r="M106" s="12" t="s">
        <v>83</v>
      </c>
    </row>
    <row r="107" customFormat="false" ht="15" hidden="false" customHeight="false" outlineLevel="0" collapsed="false">
      <c r="C107" s="12" t="s">
        <v>5</v>
      </c>
      <c r="D107" s="13" t="n">
        <v>2601201</v>
      </c>
      <c r="E107" s="13" t="n">
        <v>2019</v>
      </c>
      <c r="F107" s="12" t="s">
        <v>90</v>
      </c>
      <c r="G107" s="12" t="s">
        <v>139</v>
      </c>
      <c r="H107" s="12" t="s">
        <v>81</v>
      </c>
      <c r="I107" s="12" t="s">
        <v>55</v>
      </c>
      <c r="J107" s="12" t="s">
        <v>91</v>
      </c>
      <c r="K107" s="12" t="s">
        <v>57</v>
      </c>
      <c r="L107" s="14" t="n">
        <v>4679154.04</v>
      </c>
      <c r="M107" s="12" t="s">
        <v>83</v>
      </c>
    </row>
    <row r="108" customFormat="false" ht="15" hidden="false" customHeight="false" outlineLevel="0" collapsed="false">
      <c r="C108" s="12" t="s">
        <v>5</v>
      </c>
      <c r="D108" s="13" t="n">
        <v>2601201</v>
      </c>
      <c r="E108" s="13" t="n">
        <v>2019</v>
      </c>
      <c r="F108" s="12" t="s">
        <v>92</v>
      </c>
      <c r="G108" s="12" t="s">
        <v>139</v>
      </c>
      <c r="H108" s="12" t="s">
        <v>81</v>
      </c>
      <c r="I108" s="12" t="s">
        <v>55</v>
      </c>
      <c r="J108" s="12" t="s">
        <v>93</v>
      </c>
      <c r="K108" s="12" t="s">
        <v>57</v>
      </c>
      <c r="L108" s="14" t="n">
        <v>17904140.97</v>
      </c>
      <c r="M108" s="12" t="s">
        <v>83</v>
      </c>
    </row>
    <row r="109" customFormat="false" ht="15" hidden="false" customHeight="false" outlineLevel="0" collapsed="false">
      <c r="C109" s="12" t="s">
        <v>5</v>
      </c>
      <c r="D109" s="13" t="n">
        <v>2601201</v>
      </c>
      <c r="E109" s="13" t="n">
        <v>2019</v>
      </c>
      <c r="F109" s="12" t="s">
        <v>94</v>
      </c>
      <c r="G109" s="12" t="s">
        <v>139</v>
      </c>
      <c r="H109" s="12" t="s">
        <v>81</v>
      </c>
      <c r="I109" s="12" t="s">
        <v>55</v>
      </c>
      <c r="J109" s="12" t="s">
        <v>95</v>
      </c>
      <c r="K109" s="12" t="s">
        <v>57</v>
      </c>
      <c r="L109" s="14" t="n">
        <v>34999010.43</v>
      </c>
      <c r="M109" s="12" t="s">
        <v>83</v>
      </c>
    </row>
    <row r="110" customFormat="false" ht="15" hidden="false" customHeight="false" outlineLevel="0" collapsed="false">
      <c r="C110" s="12" t="s">
        <v>5</v>
      </c>
      <c r="D110" s="13" t="n">
        <v>2601201</v>
      </c>
      <c r="E110" s="13" t="n">
        <v>2019</v>
      </c>
      <c r="F110" s="12" t="s">
        <v>96</v>
      </c>
      <c r="G110" s="12" t="s">
        <v>139</v>
      </c>
      <c r="H110" s="12" t="s">
        <v>81</v>
      </c>
      <c r="I110" s="12" t="s">
        <v>55</v>
      </c>
      <c r="J110" s="12" t="s">
        <v>97</v>
      </c>
      <c r="K110" s="12" t="s">
        <v>57</v>
      </c>
      <c r="L110" s="14" t="n">
        <v>4103.55</v>
      </c>
      <c r="M110" s="12" t="s">
        <v>83</v>
      </c>
    </row>
    <row r="111" customFormat="false" ht="15" hidden="false" customHeight="false" outlineLevel="0" collapsed="false">
      <c r="C111" s="12" t="s">
        <v>5</v>
      </c>
      <c r="D111" s="13" t="n">
        <v>2601201</v>
      </c>
      <c r="E111" s="13" t="n">
        <v>2019</v>
      </c>
      <c r="F111" s="12" t="s">
        <v>98</v>
      </c>
      <c r="G111" s="12" t="s">
        <v>139</v>
      </c>
      <c r="H111" s="12" t="s">
        <v>81</v>
      </c>
      <c r="I111" s="12" t="s">
        <v>55</v>
      </c>
      <c r="J111" s="12" t="s">
        <v>99</v>
      </c>
      <c r="K111" s="12" t="s">
        <v>57</v>
      </c>
      <c r="L111" s="14" t="n">
        <v>45992129.97</v>
      </c>
      <c r="M111" s="12" t="s">
        <v>83</v>
      </c>
    </row>
    <row r="112" customFormat="false" ht="15" hidden="false" customHeight="false" outlineLevel="0" collapsed="false">
      <c r="C112" s="12" t="s">
        <v>5</v>
      </c>
      <c r="D112" s="13" t="n">
        <v>2601201</v>
      </c>
      <c r="E112" s="13" t="n">
        <v>2019</v>
      </c>
      <c r="F112" s="12" t="s">
        <v>133</v>
      </c>
      <c r="G112" s="12" t="s">
        <v>139</v>
      </c>
      <c r="H112" s="12" t="s">
        <v>81</v>
      </c>
      <c r="I112" s="12" t="s">
        <v>55</v>
      </c>
      <c r="J112" s="12" t="s">
        <v>134</v>
      </c>
      <c r="K112" s="12" t="s">
        <v>57</v>
      </c>
      <c r="L112" s="14" t="n">
        <v>1764</v>
      </c>
      <c r="M112" s="12" t="s">
        <v>83</v>
      </c>
    </row>
    <row r="113" customFormat="false" ht="15" hidden="false" customHeight="false" outlineLevel="0" collapsed="false">
      <c r="C113" s="12" t="s">
        <v>5</v>
      </c>
      <c r="D113" s="13" t="n">
        <v>2601201</v>
      </c>
      <c r="E113" s="13" t="n">
        <v>2019</v>
      </c>
      <c r="F113" s="12" t="s">
        <v>102</v>
      </c>
      <c r="G113" s="12" t="s">
        <v>139</v>
      </c>
      <c r="H113" s="12" t="s">
        <v>81</v>
      </c>
      <c r="I113" s="12" t="s">
        <v>55</v>
      </c>
      <c r="J113" s="12" t="s">
        <v>103</v>
      </c>
      <c r="K113" s="12" t="s">
        <v>57</v>
      </c>
      <c r="L113" s="14" t="n">
        <v>10962176.57</v>
      </c>
      <c r="M113" s="12" t="s">
        <v>83</v>
      </c>
    </row>
    <row r="114" customFormat="false" ht="15" hidden="false" customHeight="false" outlineLevel="0" collapsed="false">
      <c r="C114" s="12" t="s">
        <v>5</v>
      </c>
      <c r="D114" s="13" t="n">
        <v>2601201</v>
      </c>
      <c r="E114" s="13" t="n">
        <v>2019</v>
      </c>
      <c r="F114" s="12" t="s">
        <v>106</v>
      </c>
      <c r="G114" s="12" t="s">
        <v>139</v>
      </c>
      <c r="H114" s="12" t="s">
        <v>81</v>
      </c>
      <c r="I114" s="12" t="s">
        <v>55</v>
      </c>
      <c r="J114" s="12" t="s">
        <v>107</v>
      </c>
      <c r="K114" s="12" t="s">
        <v>57</v>
      </c>
      <c r="L114" s="14" t="n">
        <v>1151001.56</v>
      </c>
      <c r="M114" s="12" t="s">
        <v>83</v>
      </c>
    </row>
    <row r="115" customFormat="false" ht="15" hidden="false" customHeight="false" outlineLevel="0" collapsed="false">
      <c r="C115" s="12" t="s">
        <v>5</v>
      </c>
      <c r="D115" s="13" t="n">
        <v>2601201</v>
      </c>
      <c r="E115" s="13" t="n">
        <v>2019</v>
      </c>
      <c r="F115" s="12" t="s">
        <v>108</v>
      </c>
      <c r="G115" s="12" t="s">
        <v>139</v>
      </c>
      <c r="H115" s="12" t="s">
        <v>81</v>
      </c>
      <c r="I115" s="12" t="s">
        <v>55</v>
      </c>
      <c r="J115" s="12" t="s">
        <v>109</v>
      </c>
      <c r="K115" s="12" t="s">
        <v>57</v>
      </c>
      <c r="L115" s="14" t="n">
        <v>214059.25</v>
      </c>
      <c r="M115" s="12" t="s">
        <v>83</v>
      </c>
    </row>
    <row r="116" customFormat="false" ht="15" hidden="false" customHeight="false" outlineLevel="0" collapsed="false">
      <c r="C116" s="12" t="s">
        <v>5</v>
      </c>
      <c r="D116" s="13" t="n">
        <v>2601201</v>
      </c>
      <c r="E116" s="13" t="n">
        <v>2019</v>
      </c>
      <c r="F116" s="12" t="s">
        <v>110</v>
      </c>
      <c r="G116" s="12" t="s">
        <v>139</v>
      </c>
      <c r="H116" s="12" t="s">
        <v>81</v>
      </c>
      <c r="I116" s="12" t="s">
        <v>55</v>
      </c>
      <c r="J116" s="12" t="s">
        <v>111</v>
      </c>
      <c r="K116" s="12" t="s">
        <v>57</v>
      </c>
      <c r="L116" s="14" t="n">
        <v>2552890.85</v>
      </c>
      <c r="M116" s="12" t="s">
        <v>83</v>
      </c>
    </row>
    <row r="117" customFormat="false" ht="15" hidden="false" customHeight="false" outlineLevel="0" collapsed="false">
      <c r="C117" s="12" t="s">
        <v>5</v>
      </c>
      <c r="D117" s="13" t="n">
        <v>2601201</v>
      </c>
      <c r="E117" s="13" t="n">
        <v>2019</v>
      </c>
      <c r="F117" s="12" t="s">
        <v>112</v>
      </c>
      <c r="G117" s="12" t="s">
        <v>139</v>
      </c>
      <c r="H117" s="12" t="s">
        <v>81</v>
      </c>
      <c r="I117" s="12" t="s">
        <v>55</v>
      </c>
      <c r="J117" s="12" t="s">
        <v>113</v>
      </c>
      <c r="K117" s="12" t="s">
        <v>57</v>
      </c>
      <c r="L117" s="14" t="n">
        <v>7124.8</v>
      </c>
      <c r="M117" s="12" t="s">
        <v>83</v>
      </c>
    </row>
    <row r="118" customFormat="false" ht="15" hidden="false" customHeight="false" outlineLevel="0" collapsed="false">
      <c r="C118" s="12" t="s">
        <v>5</v>
      </c>
      <c r="D118" s="13" t="n">
        <v>2601201</v>
      </c>
      <c r="E118" s="13" t="n">
        <v>2019</v>
      </c>
      <c r="F118" s="12" t="s">
        <v>137</v>
      </c>
      <c r="G118" s="12" t="s">
        <v>139</v>
      </c>
      <c r="H118" s="12" t="s">
        <v>81</v>
      </c>
      <c r="I118" s="12" t="s">
        <v>55</v>
      </c>
      <c r="J118" s="12" t="s">
        <v>138</v>
      </c>
      <c r="K118" s="12" t="s">
        <v>57</v>
      </c>
      <c r="L118" s="14" t="n">
        <v>116000.41</v>
      </c>
      <c r="M118" s="12" t="s">
        <v>83</v>
      </c>
    </row>
    <row r="119" customFormat="false" ht="15" hidden="false" customHeight="false" outlineLevel="0" collapsed="false">
      <c r="C119" s="12" t="s">
        <v>5</v>
      </c>
      <c r="D119" s="13" t="n">
        <v>2601201</v>
      </c>
      <c r="E119" s="13" t="n">
        <v>2019</v>
      </c>
      <c r="F119" s="12" t="s">
        <v>114</v>
      </c>
      <c r="G119" s="12" t="s">
        <v>139</v>
      </c>
      <c r="H119" s="12" t="s">
        <v>81</v>
      </c>
      <c r="I119" s="12" t="s">
        <v>55</v>
      </c>
      <c r="J119" s="12" t="s">
        <v>115</v>
      </c>
      <c r="K119" s="12" t="s">
        <v>57</v>
      </c>
      <c r="L119" s="14" t="n">
        <v>1076796.97</v>
      </c>
      <c r="M119" s="12" t="s">
        <v>83</v>
      </c>
    </row>
    <row r="120" customFormat="false" ht="15" hidden="false" customHeight="false" outlineLevel="0" collapsed="false">
      <c r="C120" s="12" t="s">
        <v>5</v>
      </c>
      <c r="D120" s="13" t="n">
        <v>2601201</v>
      </c>
      <c r="E120" s="13" t="n">
        <v>2020</v>
      </c>
      <c r="F120" s="12" t="s">
        <v>45</v>
      </c>
      <c r="G120" s="12" t="s">
        <v>147</v>
      </c>
      <c r="H120" s="12" t="s">
        <v>47</v>
      </c>
      <c r="I120" s="12" t="s">
        <v>48</v>
      </c>
      <c r="J120" s="12" t="s">
        <v>140</v>
      </c>
      <c r="K120" s="12" t="s">
        <v>50</v>
      </c>
      <c r="L120" s="14" t="n">
        <v>194331449.9</v>
      </c>
      <c r="M120" s="12" t="s">
        <v>79</v>
      </c>
    </row>
    <row r="121" customFormat="false" ht="15" hidden="false" customHeight="false" outlineLevel="0" collapsed="false">
      <c r="C121" s="12" t="s">
        <v>5</v>
      </c>
      <c r="D121" s="13" t="n">
        <v>2601201</v>
      </c>
      <c r="E121" s="13" t="n">
        <v>2020</v>
      </c>
      <c r="F121" s="12" t="s">
        <v>51</v>
      </c>
      <c r="G121" s="12" t="s">
        <v>147</v>
      </c>
      <c r="H121" s="12" t="s">
        <v>47</v>
      </c>
      <c r="I121" s="12" t="s">
        <v>48</v>
      </c>
      <c r="J121" s="12" t="s">
        <v>140</v>
      </c>
      <c r="K121" s="12" t="s">
        <v>52</v>
      </c>
      <c r="L121" s="14" t="n">
        <v>12332254.15</v>
      </c>
      <c r="M121" s="12" t="s">
        <v>79</v>
      </c>
    </row>
    <row r="122" customFormat="false" ht="15" hidden="false" customHeight="false" outlineLevel="0" collapsed="false">
      <c r="C122" s="12" t="s">
        <v>5</v>
      </c>
      <c r="D122" s="13" t="n">
        <v>2601201</v>
      </c>
      <c r="E122" s="13" t="n">
        <v>2020</v>
      </c>
      <c r="F122" s="12" t="s">
        <v>53</v>
      </c>
      <c r="G122" s="12" t="s">
        <v>147</v>
      </c>
      <c r="H122" s="12" t="s">
        <v>54</v>
      </c>
      <c r="I122" s="12" t="s">
        <v>55</v>
      </c>
      <c r="J122" s="12" t="s">
        <v>56</v>
      </c>
      <c r="K122" s="12" t="s">
        <v>57</v>
      </c>
      <c r="L122" s="14" t="n">
        <v>194867522.94</v>
      </c>
      <c r="M122" s="12" t="s">
        <v>79</v>
      </c>
    </row>
    <row r="123" customFormat="false" ht="15" hidden="false" customHeight="false" outlineLevel="0" collapsed="false">
      <c r="C123" s="12" t="s">
        <v>5</v>
      </c>
      <c r="D123" s="13" t="n">
        <v>2601201</v>
      </c>
      <c r="E123" s="13" t="n">
        <v>2020</v>
      </c>
      <c r="F123" s="12" t="s">
        <v>58</v>
      </c>
      <c r="G123" s="12" t="s">
        <v>147</v>
      </c>
      <c r="H123" s="12" t="s">
        <v>54</v>
      </c>
      <c r="I123" s="12" t="s">
        <v>55</v>
      </c>
      <c r="J123" s="12" t="s">
        <v>56</v>
      </c>
      <c r="K123" s="12" t="s">
        <v>59</v>
      </c>
      <c r="L123" s="14" t="n">
        <v>194867522.94</v>
      </c>
      <c r="M123" s="12" t="s">
        <v>79</v>
      </c>
    </row>
    <row r="124" customFormat="false" ht="15" hidden="false" customHeight="false" outlineLevel="0" collapsed="false">
      <c r="C124" s="12" t="s">
        <v>5</v>
      </c>
      <c r="D124" s="13" t="n">
        <v>2601201</v>
      </c>
      <c r="E124" s="13" t="n">
        <v>2020</v>
      </c>
      <c r="F124" s="12" t="s">
        <v>60</v>
      </c>
      <c r="G124" s="12" t="s">
        <v>147</v>
      </c>
      <c r="H124" s="12" t="s">
        <v>54</v>
      </c>
      <c r="I124" s="12" t="s">
        <v>55</v>
      </c>
      <c r="J124" s="12" t="s">
        <v>56</v>
      </c>
      <c r="K124" s="12" t="s">
        <v>61</v>
      </c>
      <c r="L124" s="14" t="n">
        <v>189489234.67</v>
      </c>
      <c r="M124" s="12" t="s">
        <v>79</v>
      </c>
    </row>
    <row r="125" customFormat="false" ht="15" hidden="false" customHeight="false" outlineLevel="0" collapsed="false">
      <c r="C125" s="12" t="s">
        <v>5</v>
      </c>
      <c r="D125" s="13" t="n">
        <v>2601201</v>
      </c>
      <c r="E125" s="13" t="n">
        <v>2020</v>
      </c>
      <c r="F125" s="12" t="s">
        <v>80</v>
      </c>
      <c r="G125" s="12" t="s">
        <v>147</v>
      </c>
      <c r="H125" s="12" t="s">
        <v>81</v>
      </c>
      <c r="I125" s="12" t="s">
        <v>55</v>
      </c>
      <c r="J125" s="12" t="s">
        <v>82</v>
      </c>
      <c r="K125" s="12" t="s">
        <v>57</v>
      </c>
      <c r="L125" s="14" t="n">
        <v>187134713.94</v>
      </c>
      <c r="M125" s="12" t="s">
        <v>83</v>
      </c>
    </row>
    <row r="126" customFormat="false" ht="15" hidden="false" customHeight="false" outlineLevel="0" collapsed="false">
      <c r="C126" s="12" t="s">
        <v>5</v>
      </c>
      <c r="D126" s="13" t="n">
        <v>2601201</v>
      </c>
      <c r="E126" s="13" t="n">
        <v>2020</v>
      </c>
      <c r="F126" s="12" t="s">
        <v>84</v>
      </c>
      <c r="G126" s="12" t="s">
        <v>147</v>
      </c>
      <c r="H126" s="12" t="s">
        <v>81</v>
      </c>
      <c r="I126" s="12" t="s">
        <v>55</v>
      </c>
      <c r="J126" s="12" t="s">
        <v>82</v>
      </c>
      <c r="K126" s="12" t="s">
        <v>59</v>
      </c>
      <c r="L126" s="14" t="n">
        <v>187134713.94</v>
      </c>
      <c r="M126" s="12" t="s">
        <v>83</v>
      </c>
    </row>
    <row r="127" customFormat="false" ht="15" hidden="false" customHeight="false" outlineLevel="0" collapsed="false">
      <c r="C127" s="12" t="s">
        <v>5</v>
      </c>
      <c r="D127" s="13" t="n">
        <v>2601201</v>
      </c>
      <c r="E127" s="13" t="n">
        <v>2020</v>
      </c>
      <c r="F127" s="12" t="s">
        <v>85</v>
      </c>
      <c r="G127" s="12" t="s">
        <v>147</v>
      </c>
      <c r="H127" s="12" t="s">
        <v>81</v>
      </c>
      <c r="I127" s="12" t="s">
        <v>55</v>
      </c>
      <c r="J127" s="12" t="s">
        <v>82</v>
      </c>
      <c r="K127" s="12" t="s">
        <v>61</v>
      </c>
      <c r="L127" s="14" t="n">
        <v>182389595.09</v>
      </c>
      <c r="M127" s="12" t="s">
        <v>83</v>
      </c>
    </row>
    <row r="128" customFormat="false" ht="15" hidden="false" customHeight="false" outlineLevel="0" collapsed="false">
      <c r="C128" s="12" t="s">
        <v>5</v>
      </c>
      <c r="D128" s="13" t="n">
        <v>2601201</v>
      </c>
      <c r="E128" s="13" t="n">
        <v>2020</v>
      </c>
      <c r="F128" s="12" t="s">
        <v>141</v>
      </c>
      <c r="G128" s="12" t="s">
        <v>147</v>
      </c>
      <c r="H128" s="12" t="s">
        <v>47</v>
      </c>
      <c r="I128" s="12" t="s">
        <v>142</v>
      </c>
      <c r="J128" s="12" t="s">
        <v>143</v>
      </c>
      <c r="K128" s="12" t="s">
        <v>50</v>
      </c>
      <c r="L128" s="14" t="n">
        <v>7557801.22</v>
      </c>
      <c r="M128" s="12" t="s">
        <v>79</v>
      </c>
    </row>
    <row r="129" customFormat="false" ht="15" hidden="false" customHeight="false" outlineLevel="0" collapsed="false">
      <c r="C129" s="12" t="s">
        <v>5</v>
      </c>
      <c r="D129" s="13" t="n">
        <v>2601201</v>
      </c>
      <c r="E129" s="13" t="n">
        <v>2020</v>
      </c>
      <c r="F129" s="12" t="s">
        <v>144</v>
      </c>
      <c r="G129" s="12" t="s">
        <v>147</v>
      </c>
      <c r="H129" s="12" t="s">
        <v>47</v>
      </c>
      <c r="I129" s="12" t="s">
        <v>145</v>
      </c>
      <c r="J129" s="12" t="s">
        <v>146</v>
      </c>
      <c r="K129" s="12" t="s">
        <v>50</v>
      </c>
      <c r="L129" s="14" t="n">
        <v>186773648.68</v>
      </c>
      <c r="M129" s="12" t="s">
        <v>79</v>
      </c>
    </row>
    <row r="130" customFormat="false" ht="15" hidden="false" customHeight="false" outlineLevel="0" collapsed="false">
      <c r="C130" s="12" t="s">
        <v>5</v>
      </c>
      <c r="D130" s="13" t="n">
        <v>2601201</v>
      </c>
      <c r="E130" s="13" t="n">
        <v>2020</v>
      </c>
      <c r="F130" s="12" t="s">
        <v>62</v>
      </c>
      <c r="G130" s="12" t="s">
        <v>147</v>
      </c>
      <c r="H130" s="12" t="s">
        <v>47</v>
      </c>
      <c r="I130" s="12" t="s">
        <v>117</v>
      </c>
      <c r="J130" s="12" t="s">
        <v>118</v>
      </c>
      <c r="K130" s="12" t="s">
        <v>50</v>
      </c>
      <c r="L130" s="14" t="n">
        <v>18667002.94</v>
      </c>
      <c r="M130" s="12" t="s">
        <v>79</v>
      </c>
    </row>
    <row r="131" customFormat="false" ht="15" hidden="false" customHeight="false" outlineLevel="0" collapsed="false">
      <c r="C131" s="12" t="s">
        <v>5</v>
      </c>
      <c r="D131" s="13" t="n">
        <v>2601201</v>
      </c>
      <c r="E131" s="13" t="n">
        <v>2020</v>
      </c>
      <c r="F131" s="12" t="s">
        <v>65</v>
      </c>
      <c r="G131" s="12" t="s">
        <v>147</v>
      </c>
      <c r="H131" s="12" t="s">
        <v>47</v>
      </c>
      <c r="I131" s="12" t="s">
        <v>119</v>
      </c>
      <c r="J131" s="12" t="s">
        <v>120</v>
      </c>
      <c r="K131" s="12" t="s">
        <v>50</v>
      </c>
      <c r="L131" s="14" t="n">
        <v>139734848.92</v>
      </c>
      <c r="M131" s="12" t="s">
        <v>79</v>
      </c>
    </row>
    <row r="132" customFormat="false" ht="15" hidden="false" customHeight="false" outlineLevel="0" collapsed="false">
      <c r="C132" s="12" t="s">
        <v>5</v>
      </c>
      <c r="D132" s="13" t="n">
        <v>2601201</v>
      </c>
      <c r="E132" s="13" t="n">
        <v>2020</v>
      </c>
      <c r="F132" s="12" t="s">
        <v>68</v>
      </c>
      <c r="G132" s="12" t="s">
        <v>147</v>
      </c>
      <c r="H132" s="12" t="s">
        <v>47</v>
      </c>
      <c r="I132" s="12" t="s">
        <v>121</v>
      </c>
      <c r="J132" s="12" t="s">
        <v>122</v>
      </c>
      <c r="K132" s="12" t="s">
        <v>50</v>
      </c>
      <c r="L132" s="14" t="n">
        <v>3423037.89</v>
      </c>
      <c r="M132" s="12" t="s">
        <v>79</v>
      </c>
    </row>
    <row r="133" customFormat="false" ht="15" hidden="false" customHeight="false" outlineLevel="0" collapsed="false">
      <c r="C133" s="12" t="s">
        <v>5</v>
      </c>
      <c r="D133" s="13" t="n">
        <v>2601201</v>
      </c>
      <c r="E133" s="13" t="n">
        <v>2020</v>
      </c>
      <c r="F133" s="12" t="s">
        <v>71</v>
      </c>
      <c r="G133" s="12" t="s">
        <v>147</v>
      </c>
      <c r="H133" s="12" t="s">
        <v>47</v>
      </c>
      <c r="I133" s="12" t="s">
        <v>123</v>
      </c>
      <c r="J133" s="12" t="s">
        <v>124</v>
      </c>
      <c r="K133" s="12" t="s">
        <v>50</v>
      </c>
      <c r="L133" s="14" t="n">
        <v>88905968.5</v>
      </c>
      <c r="M133" s="12" t="s">
        <v>79</v>
      </c>
    </row>
    <row r="134" customFormat="false" ht="15" hidden="false" customHeight="false" outlineLevel="0" collapsed="false">
      <c r="C134" s="12" t="s">
        <v>5</v>
      </c>
      <c r="D134" s="13" t="n">
        <v>2601201</v>
      </c>
      <c r="E134" s="13" t="n">
        <v>2020</v>
      </c>
      <c r="F134" s="12" t="s">
        <v>71</v>
      </c>
      <c r="G134" s="12" t="s">
        <v>147</v>
      </c>
      <c r="H134" s="12" t="s">
        <v>47</v>
      </c>
      <c r="I134" s="12" t="s">
        <v>125</v>
      </c>
      <c r="J134" s="12" t="s">
        <v>126</v>
      </c>
      <c r="K134" s="12" t="s">
        <v>50</v>
      </c>
      <c r="L134" s="14" t="n">
        <v>24472060.67</v>
      </c>
      <c r="M134" s="12" t="s">
        <v>79</v>
      </c>
    </row>
    <row r="135" customFormat="false" ht="15" hidden="false" customHeight="false" outlineLevel="0" collapsed="false">
      <c r="C135" s="12" t="s">
        <v>5</v>
      </c>
      <c r="D135" s="13" t="n">
        <v>2601201</v>
      </c>
      <c r="E135" s="13" t="n">
        <v>2020</v>
      </c>
      <c r="F135" s="12" t="s">
        <v>74</v>
      </c>
      <c r="G135" s="12" t="s">
        <v>147</v>
      </c>
      <c r="H135" s="12" t="s">
        <v>47</v>
      </c>
      <c r="I135" s="12" t="s">
        <v>127</v>
      </c>
      <c r="J135" s="12" t="s">
        <v>128</v>
      </c>
      <c r="K135" s="12" t="s">
        <v>50</v>
      </c>
      <c r="L135" s="14" t="n">
        <v>2519279.87</v>
      </c>
      <c r="M135" s="12" t="s">
        <v>79</v>
      </c>
    </row>
    <row r="136" customFormat="false" ht="15" hidden="false" customHeight="false" outlineLevel="0" collapsed="false">
      <c r="C136" s="12" t="s">
        <v>5</v>
      </c>
      <c r="D136" s="13" t="n">
        <v>2601201</v>
      </c>
      <c r="E136" s="13" t="n">
        <v>2020</v>
      </c>
      <c r="F136" s="12" t="s">
        <v>74</v>
      </c>
      <c r="G136" s="12" t="s">
        <v>147</v>
      </c>
      <c r="H136" s="12" t="s">
        <v>47</v>
      </c>
      <c r="I136" s="12" t="s">
        <v>129</v>
      </c>
      <c r="J136" s="12" t="s">
        <v>130</v>
      </c>
      <c r="K136" s="12" t="s">
        <v>50</v>
      </c>
      <c r="L136" s="14" t="n">
        <v>903758.02</v>
      </c>
      <c r="M136" s="12" t="s">
        <v>79</v>
      </c>
    </row>
    <row r="137" customFormat="false" ht="15" hidden="false" customHeight="false" outlineLevel="0" collapsed="false">
      <c r="C137" s="12" t="s">
        <v>5</v>
      </c>
      <c r="D137" s="13" t="n">
        <v>2601201</v>
      </c>
      <c r="E137" s="13" t="n">
        <v>2020</v>
      </c>
      <c r="F137" s="12" t="s">
        <v>86</v>
      </c>
      <c r="G137" s="12" t="s">
        <v>147</v>
      </c>
      <c r="H137" s="12" t="s">
        <v>81</v>
      </c>
      <c r="I137" s="12" t="s">
        <v>55</v>
      </c>
      <c r="J137" s="12" t="s">
        <v>87</v>
      </c>
      <c r="K137" s="12" t="s">
        <v>57</v>
      </c>
      <c r="L137" s="14" t="n">
        <v>5270109.44</v>
      </c>
      <c r="M137" s="12" t="s">
        <v>83</v>
      </c>
    </row>
    <row r="138" customFormat="false" ht="15" hidden="false" customHeight="false" outlineLevel="0" collapsed="false">
      <c r="C138" s="12" t="s">
        <v>5</v>
      </c>
      <c r="D138" s="13" t="n">
        <v>2601201</v>
      </c>
      <c r="E138" s="13" t="n">
        <v>2020</v>
      </c>
      <c r="F138" s="12" t="s">
        <v>88</v>
      </c>
      <c r="G138" s="12" t="s">
        <v>147</v>
      </c>
      <c r="H138" s="12" t="s">
        <v>81</v>
      </c>
      <c r="I138" s="12" t="s">
        <v>55</v>
      </c>
      <c r="J138" s="12" t="s">
        <v>89</v>
      </c>
      <c r="K138" s="12" t="s">
        <v>57</v>
      </c>
      <c r="L138" s="14" t="n">
        <v>43220378.1</v>
      </c>
      <c r="M138" s="12" t="s">
        <v>83</v>
      </c>
    </row>
    <row r="139" customFormat="false" ht="15" hidden="false" customHeight="false" outlineLevel="0" collapsed="false">
      <c r="C139" s="12" t="s">
        <v>5</v>
      </c>
      <c r="D139" s="13" t="n">
        <v>2601201</v>
      </c>
      <c r="E139" s="13" t="n">
        <v>2020</v>
      </c>
      <c r="F139" s="12" t="s">
        <v>90</v>
      </c>
      <c r="G139" s="12" t="s">
        <v>147</v>
      </c>
      <c r="H139" s="12" t="s">
        <v>81</v>
      </c>
      <c r="I139" s="12" t="s">
        <v>55</v>
      </c>
      <c r="J139" s="12" t="s">
        <v>91</v>
      </c>
      <c r="K139" s="12" t="s">
        <v>57</v>
      </c>
      <c r="L139" s="14" t="n">
        <v>6911325.59</v>
      </c>
      <c r="M139" s="12" t="s">
        <v>83</v>
      </c>
    </row>
    <row r="140" customFormat="false" ht="15" hidden="false" customHeight="false" outlineLevel="0" collapsed="false">
      <c r="C140" s="12" t="s">
        <v>5</v>
      </c>
      <c r="D140" s="13" t="n">
        <v>2601201</v>
      </c>
      <c r="E140" s="13" t="n">
        <v>2020</v>
      </c>
      <c r="F140" s="12" t="s">
        <v>92</v>
      </c>
      <c r="G140" s="12" t="s">
        <v>147</v>
      </c>
      <c r="H140" s="12" t="s">
        <v>81</v>
      </c>
      <c r="I140" s="12" t="s">
        <v>55</v>
      </c>
      <c r="J140" s="12" t="s">
        <v>93</v>
      </c>
      <c r="K140" s="12" t="s">
        <v>57</v>
      </c>
      <c r="L140" s="14" t="n">
        <v>19576913.8</v>
      </c>
      <c r="M140" s="12" t="s">
        <v>83</v>
      </c>
    </row>
    <row r="141" customFormat="false" ht="15" hidden="false" customHeight="false" outlineLevel="0" collapsed="false">
      <c r="C141" s="12" t="s">
        <v>5</v>
      </c>
      <c r="D141" s="13" t="n">
        <v>2601201</v>
      </c>
      <c r="E141" s="13" t="n">
        <v>2020</v>
      </c>
      <c r="F141" s="12" t="s">
        <v>94</v>
      </c>
      <c r="G141" s="12" t="s">
        <v>147</v>
      </c>
      <c r="H141" s="12" t="s">
        <v>81</v>
      </c>
      <c r="I141" s="12" t="s">
        <v>55</v>
      </c>
      <c r="J141" s="12" t="s">
        <v>95</v>
      </c>
      <c r="K141" s="12" t="s">
        <v>57</v>
      </c>
      <c r="L141" s="14" t="n">
        <v>43516457.67</v>
      </c>
      <c r="M141" s="12" t="s">
        <v>83</v>
      </c>
    </row>
    <row r="142" customFormat="false" ht="15" hidden="false" customHeight="false" outlineLevel="0" collapsed="false">
      <c r="C142" s="12" t="s">
        <v>5</v>
      </c>
      <c r="D142" s="13" t="n">
        <v>2601201</v>
      </c>
      <c r="E142" s="13" t="n">
        <v>2020</v>
      </c>
      <c r="F142" s="12" t="s">
        <v>98</v>
      </c>
      <c r="G142" s="12" t="s">
        <v>147</v>
      </c>
      <c r="H142" s="12" t="s">
        <v>81</v>
      </c>
      <c r="I142" s="12" t="s">
        <v>55</v>
      </c>
      <c r="J142" s="12" t="s">
        <v>99</v>
      </c>
      <c r="K142" s="12" t="s">
        <v>57</v>
      </c>
      <c r="L142" s="14" t="n">
        <v>48419404.17</v>
      </c>
      <c r="M142" s="12" t="s">
        <v>83</v>
      </c>
    </row>
    <row r="143" customFormat="false" ht="15" hidden="false" customHeight="false" outlineLevel="0" collapsed="false">
      <c r="C143" s="12" t="s">
        <v>5</v>
      </c>
      <c r="D143" s="13" t="n">
        <v>2601201</v>
      </c>
      <c r="E143" s="13" t="n">
        <v>2020</v>
      </c>
      <c r="F143" s="12" t="s">
        <v>100</v>
      </c>
      <c r="G143" s="12" t="s">
        <v>147</v>
      </c>
      <c r="H143" s="12" t="s">
        <v>81</v>
      </c>
      <c r="I143" s="12" t="s">
        <v>55</v>
      </c>
      <c r="J143" s="12" t="s">
        <v>101</v>
      </c>
      <c r="K143" s="12" t="s">
        <v>57</v>
      </c>
      <c r="L143" s="14" t="n">
        <v>541422.61</v>
      </c>
      <c r="M143" s="12" t="s">
        <v>83</v>
      </c>
    </row>
    <row r="144" customFormat="false" ht="15" hidden="false" customHeight="false" outlineLevel="0" collapsed="false">
      <c r="C144" s="12" t="s">
        <v>5</v>
      </c>
      <c r="D144" s="13" t="n">
        <v>2601201</v>
      </c>
      <c r="E144" s="13" t="n">
        <v>2020</v>
      </c>
      <c r="F144" s="12" t="s">
        <v>133</v>
      </c>
      <c r="G144" s="12" t="s">
        <v>147</v>
      </c>
      <c r="H144" s="12" t="s">
        <v>81</v>
      </c>
      <c r="I144" s="12" t="s">
        <v>55</v>
      </c>
      <c r="J144" s="12" t="s">
        <v>134</v>
      </c>
      <c r="K144" s="12" t="s">
        <v>57</v>
      </c>
      <c r="L144" s="14" t="n">
        <v>896</v>
      </c>
      <c r="M144" s="12" t="s">
        <v>83</v>
      </c>
    </row>
    <row r="145" customFormat="false" ht="15" hidden="false" customHeight="false" outlineLevel="0" collapsed="false">
      <c r="C145" s="12" t="s">
        <v>5</v>
      </c>
      <c r="D145" s="13" t="n">
        <v>2601201</v>
      </c>
      <c r="E145" s="13" t="n">
        <v>2020</v>
      </c>
      <c r="F145" s="12" t="s">
        <v>102</v>
      </c>
      <c r="G145" s="12" t="s">
        <v>147</v>
      </c>
      <c r="H145" s="12" t="s">
        <v>81</v>
      </c>
      <c r="I145" s="12" t="s">
        <v>55</v>
      </c>
      <c r="J145" s="12" t="s">
        <v>103</v>
      </c>
      <c r="K145" s="12" t="s">
        <v>57</v>
      </c>
      <c r="L145" s="14" t="n">
        <v>16213313.63</v>
      </c>
      <c r="M145" s="12" t="s">
        <v>83</v>
      </c>
    </row>
    <row r="146" customFormat="false" ht="15" hidden="false" customHeight="false" outlineLevel="0" collapsed="false">
      <c r="C146" s="12" t="s">
        <v>5</v>
      </c>
      <c r="D146" s="13" t="n">
        <v>2601201</v>
      </c>
      <c r="E146" s="13" t="n">
        <v>2020</v>
      </c>
      <c r="F146" s="12" t="s">
        <v>106</v>
      </c>
      <c r="G146" s="12" t="s">
        <v>147</v>
      </c>
      <c r="H146" s="12" t="s">
        <v>81</v>
      </c>
      <c r="I146" s="12" t="s">
        <v>55</v>
      </c>
      <c r="J146" s="12" t="s">
        <v>107</v>
      </c>
      <c r="K146" s="12" t="s">
        <v>57</v>
      </c>
      <c r="L146" s="14" t="n">
        <v>1691959.67</v>
      </c>
      <c r="M146" s="12" t="s">
        <v>83</v>
      </c>
    </row>
    <row r="147" customFormat="false" ht="15" hidden="false" customHeight="false" outlineLevel="0" collapsed="false">
      <c r="C147" s="12" t="s">
        <v>5</v>
      </c>
      <c r="D147" s="13" t="n">
        <v>2601201</v>
      </c>
      <c r="E147" s="13" t="n">
        <v>2020</v>
      </c>
      <c r="F147" s="12" t="s">
        <v>108</v>
      </c>
      <c r="G147" s="12" t="s">
        <v>147</v>
      </c>
      <c r="H147" s="12" t="s">
        <v>81</v>
      </c>
      <c r="I147" s="12" t="s">
        <v>55</v>
      </c>
      <c r="J147" s="12" t="s">
        <v>109</v>
      </c>
      <c r="K147" s="12" t="s">
        <v>57</v>
      </c>
      <c r="L147" s="14" t="n">
        <v>69849</v>
      </c>
      <c r="M147" s="12" t="s">
        <v>83</v>
      </c>
    </row>
    <row r="148" customFormat="false" ht="15" hidden="false" customHeight="false" outlineLevel="0" collapsed="false">
      <c r="C148" s="12" t="s">
        <v>5</v>
      </c>
      <c r="D148" s="13" t="n">
        <v>2601201</v>
      </c>
      <c r="E148" s="13" t="n">
        <v>2020</v>
      </c>
      <c r="F148" s="12" t="s">
        <v>110</v>
      </c>
      <c r="G148" s="12" t="s">
        <v>147</v>
      </c>
      <c r="H148" s="12" t="s">
        <v>81</v>
      </c>
      <c r="I148" s="12" t="s">
        <v>55</v>
      </c>
      <c r="J148" s="12" t="s">
        <v>111</v>
      </c>
      <c r="K148" s="12" t="s">
        <v>57</v>
      </c>
      <c r="L148" s="14" t="n">
        <v>491885.07</v>
      </c>
      <c r="M148" s="12" t="s">
        <v>83</v>
      </c>
    </row>
    <row r="149" customFormat="false" ht="15" hidden="false" customHeight="false" outlineLevel="0" collapsed="false">
      <c r="C149" s="12" t="s">
        <v>5</v>
      </c>
      <c r="D149" s="13" t="n">
        <v>2601201</v>
      </c>
      <c r="E149" s="13" t="n">
        <v>2020</v>
      </c>
      <c r="F149" s="12" t="s">
        <v>114</v>
      </c>
      <c r="G149" s="12" t="s">
        <v>147</v>
      </c>
      <c r="H149" s="12" t="s">
        <v>81</v>
      </c>
      <c r="I149" s="12" t="s">
        <v>55</v>
      </c>
      <c r="J149" s="12" t="s">
        <v>115</v>
      </c>
      <c r="K149" s="12" t="s">
        <v>57</v>
      </c>
      <c r="L149" s="14" t="n">
        <v>1210799.19</v>
      </c>
      <c r="M149" s="12" t="s">
        <v>83</v>
      </c>
    </row>
    <row r="150" customFormat="false" ht="15" hidden="false" customHeight="false" outlineLevel="0" collapsed="false">
      <c r="C150" s="12" t="s">
        <v>5</v>
      </c>
      <c r="D150" s="13" t="n">
        <v>2601201</v>
      </c>
      <c r="E150" s="13" t="n">
        <v>2021</v>
      </c>
      <c r="F150" s="12" t="s">
        <v>45</v>
      </c>
      <c r="G150" s="12" t="s">
        <v>148</v>
      </c>
      <c r="H150" s="12" t="s">
        <v>47</v>
      </c>
      <c r="I150" s="12" t="s">
        <v>48</v>
      </c>
      <c r="J150" s="12" t="s">
        <v>140</v>
      </c>
      <c r="K150" s="12" t="s">
        <v>50</v>
      </c>
      <c r="L150" s="14" t="n">
        <v>216015961.16</v>
      </c>
      <c r="M150" s="12" t="s">
        <v>79</v>
      </c>
    </row>
    <row r="151" customFormat="false" ht="15" hidden="false" customHeight="false" outlineLevel="0" collapsed="false">
      <c r="C151" s="12" t="s">
        <v>5</v>
      </c>
      <c r="D151" s="13" t="n">
        <v>2601201</v>
      </c>
      <c r="E151" s="13" t="n">
        <v>2021</v>
      </c>
      <c r="F151" s="12" t="s">
        <v>51</v>
      </c>
      <c r="G151" s="12" t="s">
        <v>148</v>
      </c>
      <c r="H151" s="12" t="s">
        <v>47</v>
      </c>
      <c r="I151" s="12" t="s">
        <v>48</v>
      </c>
      <c r="J151" s="12" t="s">
        <v>140</v>
      </c>
      <c r="K151" s="12" t="s">
        <v>52</v>
      </c>
      <c r="L151" s="14" t="n">
        <v>16269558.61</v>
      </c>
      <c r="M151" s="12" t="s">
        <v>79</v>
      </c>
    </row>
    <row r="152" customFormat="false" ht="15" hidden="false" customHeight="false" outlineLevel="0" collapsed="false">
      <c r="C152" s="12" t="s">
        <v>5</v>
      </c>
      <c r="D152" s="13" t="n">
        <v>2601201</v>
      </c>
      <c r="E152" s="13" t="n">
        <v>2021</v>
      </c>
      <c r="F152" s="12" t="s">
        <v>53</v>
      </c>
      <c r="G152" s="12" t="s">
        <v>148</v>
      </c>
      <c r="H152" s="12" t="s">
        <v>54</v>
      </c>
      <c r="I152" s="12" t="s">
        <v>55</v>
      </c>
      <c r="J152" s="12" t="s">
        <v>56</v>
      </c>
      <c r="K152" s="12" t="s">
        <v>57</v>
      </c>
      <c r="L152" s="14" t="n">
        <v>199521923.37</v>
      </c>
      <c r="M152" s="12" t="s">
        <v>79</v>
      </c>
    </row>
    <row r="153" customFormat="false" ht="15" hidden="false" customHeight="false" outlineLevel="0" collapsed="false">
      <c r="C153" s="12" t="s">
        <v>5</v>
      </c>
      <c r="D153" s="13" t="n">
        <v>2601201</v>
      </c>
      <c r="E153" s="13" t="n">
        <v>2021</v>
      </c>
      <c r="F153" s="12" t="s">
        <v>58</v>
      </c>
      <c r="G153" s="12" t="s">
        <v>148</v>
      </c>
      <c r="H153" s="12" t="s">
        <v>54</v>
      </c>
      <c r="I153" s="12" t="s">
        <v>55</v>
      </c>
      <c r="J153" s="12" t="s">
        <v>56</v>
      </c>
      <c r="K153" s="12" t="s">
        <v>59</v>
      </c>
      <c r="L153" s="14" t="n">
        <v>196364699.37</v>
      </c>
      <c r="M153" s="12" t="s">
        <v>79</v>
      </c>
    </row>
    <row r="154" customFormat="false" ht="15" hidden="false" customHeight="false" outlineLevel="0" collapsed="false">
      <c r="C154" s="12" t="s">
        <v>5</v>
      </c>
      <c r="D154" s="13" t="n">
        <v>2601201</v>
      </c>
      <c r="E154" s="13" t="n">
        <v>2021</v>
      </c>
      <c r="F154" s="12" t="s">
        <v>60</v>
      </c>
      <c r="G154" s="12" t="s">
        <v>148</v>
      </c>
      <c r="H154" s="12" t="s">
        <v>54</v>
      </c>
      <c r="I154" s="12" t="s">
        <v>55</v>
      </c>
      <c r="J154" s="12" t="s">
        <v>56</v>
      </c>
      <c r="K154" s="12" t="s">
        <v>61</v>
      </c>
      <c r="L154" s="14" t="n">
        <v>189550670.4</v>
      </c>
      <c r="M154" s="12" t="s">
        <v>79</v>
      </c>
    </row>
    <row r="155" customFormat="false" ht="15" hidden="false" customHeight="false" outlineLevel="0" collapsed="false">
      <c r="C155" s="12" t="s">
        <v>5</v>
      </c>
      <c r="D155" s="13" t="n">
        <v>2601201</v>
      </c>
      <c r="E155" s="13" t="n">
        <v>2021</v>
      </c>
      <c r="F155" s="12" t="s">
        <v>80</v>
      </c>
      <c r="G155" s="12" t="s">
        <v>148</v>
      </c>
      <c r="H155" s="12" t="s">
        <v>81</v>
      </c>
      <c r="I155" s="12" t="s">
        <v>55</v>
      </c>
      <c r="J155" s="12" t="s">
        <v>82</v>
      </c>
      <c r="K155" s="12" t="s">
        <v>57</v>
      </c>
      <c r="L155" s="14" t="n">
        <v>191085836.73</v>
      </c>
      <c r="M155" s="12" t="s">
        <v>83</v>
      </c>
    </row>
    <row r="156" customFormat="false" ht="15" hidden="false" customHeight="false" outlineLevel="0" collapsed="false">
      <c r="C156" s="12" t="s">
        <v>5</v>
      </c>
      <c r="D156" s="13" t="n">
        <v>2601201</v>
      </c>
      <c r="E156" s="13" t="n">
        <v>2021</v>
      </c>
      <c r="F156" s="12" t="s">
        <v>84</v>
      </c>
      <c r="G156" s="12" t="s">
        <v>148</v>
      </c>
      <c r="H156" s="12" t="s">
        <v>81</v>
      </c>
      <c r="I156" s="12" t="s">
        <v>55</v>
      </c>
      <c r="J156" s="12" t="s">
        <v>82</v>
      </c>
      <c r="K156" s="12" t="s">
        <v>59</v>
      </c>
      <c r="L156" s="14" t="n">
        <v>187928612.73</v>
      </c>
      <c r="M156" s="12" t="s">
        <v>83</v>
      </c>
    </row>
    <row r="157" customFormat="false" ht="15" hidden="false" customHeight="false" outlineLevel="0" collapsed="false">
      <c r="C157" s="12" t="s">
        <v>5</v>
      </c>
      <c r="D157" s="13" t="n">
        <v>2601201</v>
      </c>
      <c r="E157" s="13" t="n">
        <v>2021</v>
      </c>
      <c r="F157" s="12" t="s">
        <v>85</v>
      </c>
      <c r="G157" s="12" t="s">
        <v>148</v>
      </c>
      <c r="H157" s="12" t="s">
        <v>81</v>
      </c>
      <c r="I157" s="12" t="s">
        <v>55</v>
      </c>
      <c r="J157" s="12" t="s">
        <v>82</v>
      </c>
      <c r="K157" s="12" t="s">
        <v>61</v>
      </c>
      <c r="L157" s="14" t="n">
        <v>181803556.73</v>
      </c>
      <c r="M157" s="12" t="s">
        <v>83</v>
      </c>
    </row>
    <row r="158" customFormat="false" ht="15" hidden="false" customHeight="false" outlineLevel="0" collapsed="false">
      <c r="C158" s="12" t="s">
        <v>5</v>
      </c>
      <c r="D158" s="13" t="n">
        <v>2601201</v>
      </c>
      <c r="E158" s="13" t="n">
        <v>2021</v>
      </c>
      <c r="F158" s="12" t="s">
        <v>141</v>
      </c>
      <c r="G158" s="12" t="s">
        <v>148</v>
      </c>
      <c r="H158" s="12" t="s">
        <v>47</v>
      </c>
      <c r="I158" s="12" t="s">
        <v>142</v>
      </c>
      <c r="J158" s="12" t="s">
        <v>143</v>
      </c>
      <c r="K158" s="12" t="s">
        <v>50</v>
      </c>
      <c r="L158" s="14" t="n">
        <v>8316399.41</v>
      </c>
      <c r="M158" s="12" t="s">
        <v>79</v>
      </c>
    </row>
    <row r="159" customFormat="false" ht="15" hidden="false" customHeight="false" outlineLevel="0" collapsed="false">
      <c r="C159" s="12" t="s">
        <v>5</v>
      </c>
      <c r="D159" s="13" t="n">
        <v>2601201</v>
      </c>
      <c r="E159" s="13" t="n">
        <v>2021</v>
      </c>
      <c r="F159" s="12" t="s">
        <v>144</v>
      </c>
      <c r="G159" s="12" t="s">
        <v>148</v>
      </c>
      <c r="H159" s="12" t="s">
        <v>47</v>
      </c>
      <c r="I159" s="12" t="s">
        <v>145</v>
      </c>
      <c r="J159" s="12" t="s">
        <v>146</v>
      </c>
      <c r="K159" s="12" t="s">
        <v>50</v>
      </c>
      <c r="L159" s="14" t="n">
        <v>207699561.75</v>
      </c>
      <c r="M159" s="12" t="s">
        <v>79</v>
      </c>
    </row>
    <row r="160" customFormat="false" ht="15" hidden="false" customHeight="false" outlineLevel="0" collapsed="false">
      <c r="C160" s="12" t="s">
        <v>5</v>
      </c>
      <c r="D160" s="13" t="n">
        <v>2601201</v>
      </c>
      <c r="E160" s="13" t="n">
        <v>2021</v>
      </c>
      <c r="F160" s="12" t="s">
        <v>62</v>
      </c>
      <c r="G160" s="12" t="s">
        <v>148</v>
      </c>
      <c r="H160" s="12" t="s">
        <v>47</v>
      </c>
      <c r="I160" s="12" t="s">
        <v>117</v>
      </c>
      <c r="J160" s="12" t="s">
        <v>118</v>
      </c>
      <c r="K160" s="12" t="s">
        <v>50</v>
      </c>
      <c r="L160" s="14" t="n">
        <v>24779690.09</v>
      </c>
      <c r="M160" s="12" t="s">
        <v>79</v>
      </c>
    </row>
    <row r="161" customFormat="false" ht="15" hidden="false" customHeight="false" outlineLevel="0" collapsed="false">
      <c r="C161" s="12" t="s">
        <v>5</v>
      </c>
      <c r="D161" s="13" t="n">
        <v>2601201</v>
      </c>
      <c r="E161" s="13" t="n">
        <v>2021</v>
      </c>
      <c r="F161" s="12" t="s">
        <v>65</v>
      </c>
      <c r="G161" s="12" t="s">
        <v>148</v>
      </c>
      <c r="H161" s="12" t="s">
        <v>47</v>
      </c>
      <c r="I161" s="12" t="s">
        <v>119</v>
      </c>
      <c r="J161" s="12" t="s">
        <v>120</v>
      </c>
      <c r="K161" s="12" t="s">
        <v>50</v>
      </c>
      <c r="L161" s="14" t="n">
        <v>157389365.75</v>
      </c>
      <c r="M161" s="12" t="s">
        <v>79</v>
      </c>
    </row>
    <row r="162" customFormat="false" ht="15" hidden="false" customHeight="false" outlineLevel="0" collapsed="false">
      <c r="C162" s="12" t="s">
        <v>5</v>
      </c>
      <c r="D162" s="13" t="n">
        <v>2601201</v>
      </c>
      <c r="E162" s="13" t="n">
        <v>2021</v>
      </c>
      <c r="F162" s="12" t="s">
        <v>68</v>
      </c>
      <c r="G162" s="12" t="s">
        <v>148</v>
      </c>
      <c r="H162" s="12" t="s">
        <v>47</v>
      </c>
      <c r="I162" s="12" t="s">
        <v>121</v>
      </c>
      <c r="J162" s="12" t="s">
        <v>122</v>
      </c>
      <c r="K162" s="12" t="s">
        <v>50</v>
      </c>
      <c r="L162" s="14" t="n">
        <v>2178201.37</v>
      </c>
      <c r="M162" s="12" t="s">
        <v>79</v>
      </c>
    </row>
    <row r="163" customFormat="false" ht="15" hidden="false" customHeight="false" outlineLevel="0" collapsed="false">
      <c r="C163" s="12" t="s">
        <v>5</v>
      </c>
      <c r="D163" s="13" t="n">
        <v>2601201</v>
      </c>
      <c r="E163" s="13" t="n">
        <v>2021</v>
      </c>
      <c r="F163" s="12" t="s">
        <v>71</v>
      </c>
      <c r="G163" s="12" t="s">
        <v>148</v>
      </c>
      <c r="H163" s="12" t="s">
        <v>47</v>
      </c>
      <c r="I163" s="12" t="s">
        <v>123</v>
      </c>
      <c r="J163" s="12" t="s">
        <v>124</v>
      </c>
      <c r="K163" s="12" t="s">
        <v>50</v>
      </c>
      <c r="L163" s="14" t="n">
        <v>89138565.53</v>
      </c>
      <c r="M163" s="12" t="s">
        <v>79</v>
      </c>
    </row>
    <row r="164" customFormat="false" ht="15" hidden="false" customHeight="false" outlineLevel="0" collapsed="false">
      <c r="C164" s="12" t="s">
        <v>5</v>
      </c>
      <c r="D164" s="13" t="n">
        <v>2601201</v>
      </c>
      <c r="E164" s="13" t="n">
        <v>2021</v>
      </c>
      <c r="F164" s="12" t="s">
        <v>71</v>
      </c>
      <c r="G164" s="12" t="s">
        <v>148</v>
      </c>
      <c r="H164" s="12" t="s">
        <v>47</v>
      </c>
      <c r="I164" s="12" t="s">
        <v>125</v>
      </c>
      <c r="J164" s="12" t="s">
        <v>126</v>
      </c>
      <c r="K164" s="12" t="s">
        <v>50</v>
      </c>
      <c r="L164" s="14" t="n">
        <v>32178829.29</v>
      </c>
      <c r="M164" s="12" t="s">
        <v>79</v>
      </c>
    </row>
    <row r="165" customFormat="false" ht="15" hidden="false" customHeight="false" outlineLevel="0" collapsed="false">
      <c r="C165" s="12" t="s">
        <v>5</v>
      </c>
      <c r="D165" s="13" t="n">
        <v>2601201</v>
      </c>
      <c r="E165" s="13" t="n">
        <v>2021</v>
      </c>
      <c r="F165" s="12" t="s">
        <v>74</v>
      </c>
      <c r="G165" s="12" t="s">
        <v>148</v>
      </c>
      <c r="H165" s="12" t="s">
        <v>47</v>
      </c>
      <c r="I165" s="12" t="s">
        <v>127</v>
      </c>
      <c r="J165" s="12" t="s">
        <v>128</v>
      </c>
      <c r="K165" s="12" t="s">
        <v>50</v>
      </c>
      <c r="L165" s="14" t="n">
        <v>1845237.89</v>
      </c>
      <c r="M165" s="12" t="s">
        <v>79</v>
      </c>
    </row>
    <row r="166" customFormat="false" ht="15" hidden="false" customHeight="false" outlineLevel="0" collapsed="false">
      <c r="C166" s="12" t="s">
        <v>5</v>
      </c>
      <c r="D166" s="13" t="n">
        <v>2601201</v>
      </c>
      <c r="E166" s="13" t="n">
        <v>2021</v>
      </c>
      <c r="F166" s="12" t="s">
        <v>74</v>
      </c>
      <c r="G166" s="12" t="s">
        <v>148</v>
      </c>
      <c r="H166" s="12" t="s">
        <v>47</v>
      </c>
      <c r="I166" s="12" t="s">
        <v>129</v>
      </c>
      <c r="J166" s="12" t="s">
        <v>130</v>
      </c>
      <c r="K166" s="12" t="s">
        <v>50</v>
      </c>
      <c r="L166" s="14" t="n">
        <v>332963.48</v>
      </c>
      <c r="M166" s="12" t="s">
        <v>79</v>
      </c>
    </row>
    <row r="167" customFormat="false" ht="15" hidden="false" customHeight="false" outlineLevel="0" collapsed="false">
      <c r="C167" s="12" t="s">
        <v>5</v>
      </c>
      <c r="D167" s="13" t="n">
        <v>2601201</v>
      </c>
      <c r="E167" s="13" t="n">
        <v>2021</v>
      </c>
      <c r="F167" s="12" t="s">
        <v>86</v>
      </c>
      <c r="G167" s="12" t="s">
        <v>148</v>
      </c>
      <c r="H167" s="12" t="s">
        <v>81</v>
      </c>
      <c r="I167" s="12" t="s">
        <v>55</v>
      </c>
      <c r="J167" s="12" t="s">
        <v>87</v>
      </c>
      <c r="K167" s="12" t="s">
        <v>57</v>
      </c>
      <c r="L167" s="14" t="n">
        <v>5726233.38</v>
      </c>
      <c r="M167" s="12" t="s">
        <v>83</v>
      </c>
    </row>
    <row r="168" customFormat="false" ht="15" hidden="false" customHeight="false" outlineLevel="0" collapsed="false">
      <c r="C168" s="12" t="s">
        <v>5</v>
      </c>
      <c r="D168" s="13" t="n">
        <v>2601201</v>
      </c>
      <c r="E168" s="13" t="n">
        <v>2021</v>
      </c>
      <c r="F168" s="12" t="s">
        <v>88</v>
      </c>
      <c r="G168" s="12" t="s">
        <v>148</v>
      </c>
      <c r="H168" s="12" t="s">
        <v>81</v>
      </c>
      <c r="I168" s="12" t="s">
        <v>55</v>
      </c>
      <c r="J168" s="12" t="s">
        <v>89</v>
      </c>
      <c r="K168" s="12" t="s">
        <v>57</v>
      </c>
      <c r="L168" s="14" t="n">
        <v>41759299.95</v>
      </c>
      <c r="M168" s="12" t="s">
        <v>83</v>
      </c>
    </row>
    <row r="169" customFormat="false" ht="15" hidden="false" customHeight="false" outlineLevel="0" collapsed="false">
      <c r="C169" s="12" t="s">
        <v>5</v>
      </c>
      <c r="D169" s="13" t="n">
        <v>2601201</v>
      </c>
      <c r="E169" s="13" t="n">
        <v>2021</v>
      </c>
      <c r="F169" s="12" t="s">
        <v>90</v>
      </c>
      <c r="G169" s="12" t="s">
        <v>148</v>
      </c>
      <c r="H169" s="12" t="s">
        <v>81</v>
      </c>
      <c r="I169" s="12" t="s">
        <v>55</v>
      </c>
      <c r="J169" s="12" t="s">
        <v>91</v>
      </c>
      <c r="K169" s="12" t="s">
        <v>57</v>
      </c>
      <c r="L169" s="14" t="n">
        <v>6747176.9</v>
      </c>
      <c r="M169" s="12" t="s">
        <v>83</v>
      </c>
    </row>
    <row r="170" customFormat="false" ht="15" hidden="false" customHeight="false" outlineLevel="0" collapsed="false">
      <c r="C170" s="12" t="s">
        <v>5</v>
      </c>
      <c r="D170" s="13" t="n">
        <v>2601201</v>
      </c>
      <c r="E170" s="13" t="n">
        <v>2021</v>
      </c>
      <c r="F170" s="12" t="s">
        <v>92</v>
      </c>
      <c r="G170" s="12" t="s">
        <v>148</v>
      </c>
      <c r="H170" s="12" t="s">
        <v>81</v>
      </c>
      <c r="I170" s="12" t="s">
        <v>55</v>
      </c>
      <c r="J170" s="12" t="s">
        <v>93</v>
      </c>
      <c r="K170" s="12" t="s">
        <v>57</v>
      </c>
      <c r="L170" s="14" t="n">
        <v>21184860.98</v>
      </c>
      <c r="M170" s="12" t="s">
        <v>83</v>
      </c>
    </row>
    <row r="171" customFormat="false" ht="15" hidden="false" customHeight="false" outlineLevel="0" collapsed="false">
      <c r="C171" s="12" t="s">
        <v>5</v>
      </c>
      <c r="D171" s="13" t="n">
        <v>2601201</v>
      </c>
      <c r="E171" s="13" t="n">
        <v>2021</v>
      </c>
      <c r="F171" s="12" t="s">
        <v>94</v>
      </c>
      <c r="G171" s="12" t="s">
        <v>148</v>
      </c>
      <c r="H171" s="12" t="s">
        <v>81</v>
      </c>
      <c r="I171" s="12" t="s">
        <v>55</v>
      </c>
      <c r="J171" s="12" t="s">
        <v>95</v>
      </c>
      <c r="K171" s="12" t="s">
        <v>57</v>
      </c>
      <c r="L171" s="14" t="n">
        <v>43895656.8</v>
      </c>
      <c r="M171" s="12" t="s">
        <v>83</v>
      </c>
    </row>
    <row r="172" customFormat="false" ht="15" hidden="false" customHeight="false" outlineLevel="0" collapsed="false">
      <c r="C172" s="12" t="s">
        <v>5</v>
      </c>
      <c r="D172" s="13" t="n">
        <v>2601201</v>
      </c>
      <c r="E172" s="13" t="n">
        <v>2021</v>
      </c>
      <c r="F172" s="12" t="s">
        <v>96</v>
      </c>
      <c r="G172" s="12" t="s">
        <v>148</v>
      </c>
      <c r="H172" s="12" t="s">
        <v>81</v>
      </c>
      <c r="I172" s="12" t="s">
        <v>55</v>
      </c>
      <c r="J172" s="12" t="s">
        <v>97</v>
      </c>
      <c r="K172" s="12" t="s">
        <v>57</v>
      </c>
      <c r="L172" s="14" t="n">
        <v>4103.55</v>
      </c>
      <c r="M172" s="12" t="s">
        <v>83</v>
      </c>
    </row>
    <row r="173" customFormat="false" ht="15" hidden="false" customHeight="false" outlineLevel="0" collapsed="false">
      <c r="C173" s="12" t="s">
        <v>5</v>
      </c>
      <c r="D173" s="13" t="n">
        <v>2601201</v>
      </c>
      <c r="E173" s="13" t="n">
        <v>2021</v>
      </c>
      <c r="F173" s="12" t="s">
        <v>98</v>
      </c>
      <c r="G173" s="12" t="s">
        <v>148</v>
      </c>
      <c r="H173" s="12" t="s">
        <v>81</v>
      </c>
      <c r="I173" s="12" t="s">
        <v>55</v>
      </c>
      <c r="J173" s="12" t="s">
        <v>99</v>
      </c>
      <c r="K173" s="12" t="s">
        <v>57</v>
      </c>
      <c r="L173" s="14" t="n">
        <v>53423098.8</v>
      </c>
      <c r="M173" s="12" t="s">
        <v>83</v>
      </c>
    </row>
    <row r="174" customFormat="false" ht="15" hidden="false" customHeight="false" outlineLevel="0" collapsed="false">
      <c r="C174" s="12" t="s">
        <v>5</v>
      </c>
      <c r="D174" s="13" t="n">
        <v>2601201</v>
      </c>
      <c r="E174" s="13" t="n">
        <v>2021</v>
      </c>
      <c r="F174" s="12" t="s">
        <v>133</v>
      </c>
      <c r="G174" s="12" t="s">
        <v>148</v>
      </c>
      <c r="H174" s="12" t="s">
        <v>81</v>
      </c>
      <c r="I174" s="12" t="s">
        <v>55</v>
      </c>
      <c r="J174" s="12" t="s">
        <v>134</v>
      </c>
      <c r="K174" s="12" t="s">
        <v>57</v>
      </c>
      <c r="L174" s="14" t="n">
        <v>23892.44</v>
      </c>
      <c r="M174" s="12" t="s">
        <v>83</v>
      </c>
    </row>
    <row r="175" customFormat="false" ht="15" hidden="false" customHeight="false" outlineLevel="0" collapsed="false">
      <c r="C175" s="12" t="s">
        <v>5</v>
      </c>
      <c r="D175" s="13" t="n">
        <v>2601201</v>
      </c>
      <c r="E175" s="13" t="n">
        <v>2021</v>
      </c>
      <c r="F175" s="12" t="s">
        <v>102</v>
      </c>
      <c r="G175" s="12" t="s">
        <v>148</v>
      </c>
      <c r="H175" s="12" t="s">
        <v>81</v>
      </c>
      <c r="I175" s="12" t="s">
        <v>55</v>
      </c>
      <c r="J175" s="12" t="s">
        <v>103</v>
      </c>
      <c r="K175" s="12" t="s">
        <v>57</v>
      </c>
      <c r="L175" s="14" t="n">
        <v>13959815.73</v>
      </c>
      <c r="M175" s="12" t="s">
        <v>83</v>
      </c>
    </row>
    <row r="176" customFormat="false" ht="15" hidden="false" customHeight="false" outlineLevel="0" collapsed="false">
      <c r="C176" s="12" t="s">
        <v>5</v>
      </c>
      <c r="D176" s="13" t="n">
        <v>2601201</v>
      </c>
      <c r="E176" s="13" t="n">
        <v>2021</v>
      </c>
      <c r="F176" s="12" t="s">
        <v>106</v>
      </c>
      <c r="G176" s="12" t="s">
        <v>148</v>
      </c>
      <c r="H176" s="12" t="s">
        <v>81</v>
      </c>
      <c r="I176" s="12" t="s">
        <v>55</v>
      </c>
      <c r="J176" s="12" t="s">
        <v>107</v>
      </c>
      <c r="K176" s="12" t="s">
        <v>57</v>
      </c>
      <c r="L176" s="14" t="n">
        <v>1614980.29</v>
      </c>
      <c r="M176" s="12" t="s">
        <v>83</v>
      </c>
    </row>
    <row r="177" customFormat="false" ht="15" hidden="false" customHeight="false" outlineLevel="0" collapsed="false">
      <c r="C177" s="12" t="s">
        <v>5</v>
      </c>
      <c r="D177" s="13" t="n">
        <v>2601201</v>
      </c>
      <c r="E177" s="13" t="n">
        <v>2021</v>
      </c>
      <c r="F177" s="12" t="s">
        <v>108</v>
      </c>
      <c r="G177" s="12" t="s">
        <v>148</v>
      </c>
      <c r="H177" s="12" t="s">
        <v>81</v>
      </c>
      <c r="I177" s="12" t="s">
        <v>55</v>
      </c>
      <c r="J177" s="12" t="s">
        <v>109</v>
      </c>
      <c r="K177" s="12" t="s">
        <v>57</v>
      </c>
      <c r="L177" s="14" t="n">
        <v>84295.31</v>
      </c>
      <c r="M177" s="12" t="s">
        <v>83</v>
      </c>
    </row>
    <row r="178" customFormat="false" ht="15" hidden="false" customHeight="false" outlineLevel="0" collapsed="false">
      <c r="C178" s="12" t="s">
        <v>5</v>
      </c>
      <c r="D178" s="13" t="n">
        <v>2601201</v>
      </c>
      <c r="E178" s="13" t="n">
        <v>2021</v>
      </c>
      <c r="F178" s="12" t="s">
        <v>110</v>
      </c>
      <c r="G178" s="12" t="s">
        <v>148</v>
      </c>
      <c r="H178" s="12" t="s">
        <v>81</v>
      </c>
      <c r="I178" s="12" t="s">
        <v>55</v>
      </c>
      <c r="J178" s="12" t="s">
        <v>111</v>
      </c>
      <c r="K178" s="12" t="s">
        <v>57</v>
      </c>
      <c r="L178" s="14" t="n">
        <v>9600</v>
      </c>
      <c r="M178" s="12" t="s">
        <v>83</v>
      </c>
    </row>
    <row r="179" customFormat="false" ht="15" hidden="false" customHeight="false" outlineLevel="0" collapsed="false">
      <c r="C179" s="12" t="s">
        <v>5</v>
      </c>
      <c r="D179" s="13" t="n">
        <v>2601201</v>
      </c>
      <c r="E179" s="13" t="n">
        <v>2021</v>
      </c>
      <c r="F179" s="12" t="s">
        <v>114</v>
      </c>
      <c r="G179" s="12" t="s">
        <v>148</v>
      </c>
      <c r="H179" s="12" t="s">
        <v>81</v>
      </c>
      <c r="I179" s="12" t="s">
        <v>55</v>
      </c>
      <c r="J179" s="12" t="s">
        <v>115</v>
      </c>
      <c r="K179" s="12" t="s">
        <v>57</v>
      </c>
      <c r="L179" s="14" t="n">
        <v>2652822.6</v>
      </c>
      <c r="M179" s="12" t="s">
        <v>83</v>
      </c>
    </row>
    <row r="180" customFormat="false" ht="15" hidden="false" customHeight="false" outlineLevel="0" collapsed="false">
      <c r="C180" s="12" t="s">
        <v>5</v>
      </c>
      <c r="D180" s="13" t="n">
        <v>2601201</v>
      </c>
      <c r="E180" s="13" t="n">
        <v>2022</v>
      </c>
      <c r="F180" s="12" t="s">
        <v>45</v>
      </c>
      <c r="G180" s="12" t="s">
        <v>149</v>
      </c>
      <c r="H180" s="12" t="s">
        <v>47</v>
      </c>
      <c r="I180" s="12" t="s">
        <v>48</v>
      </c>
      <c r="J180" s="12" t="s">
        <v>140</v>
      </c>
      <c r="K180" s="12" t="s">
        <v>50</v>
      </c>
      <c r="L180" s="14" t="n">
        <v>258385595.31</v>
      </c>
      <c r="M180" s="12" t="s">
        <v>79</v>
      </c>
    </row>
    <row r="181" customFormat="false" ht="15" hidden="false" customHeight="false" outlineLevel="0" collapsed="false">
      <c r="C181" s="12" t="s">
        <v>5</v>
      </c>
      <c r="D181" s="13" t="n">
        <v>2601201</v>
      </c>
      <c r="E181" s="13" t="n">
        <v>2022</v>
      </c>
      <c r="F181" s="12" t="s">
        <v>51</v>
      </c>
      <c r="G181" s="12" t="s">
        <v>149</v>
      </c>
      <c r="H181" s="12" t="s">
        <v>47</v>
      </c>
      <c r="I181" s="12" t="s">
        <v>48</v>
      </c>
      <c r="J181" s="12" t="s">
        <v>140</v>
      </c>
      <c r="K181" s="12" t="s">
        <v>52</v>
      </c>
      <c r="L181" s="14" t="n">
        <v>19049128.79</v>
      </c>
      <c r="M181" s="12" t="s">
        <v>79</v>
      </c>
    </row>
    <row r="182" customFormat="false" ht="15" hidden="false" customHeight="false" outlineLevel="0" collapsed="false">
      <c r="C182" s="12" t="s">
        <v>5</v>
      </c>
      <c r="D182" s="13" t="n">
        <v>2601201</v>
      </c>
      <c r="E182" s="13" t="n">
        <v>2022</v>
      </c>
      <c r="F182" s="12" t="s">
        <v>150</v>
      </c>
      <c r="G182" s="12" t="s">
        <v>149</v>
      </c>
      <c r="H182" s="12" t="s">
        <v>47</v>
      </c>
      <c r="I182" s="12" t="s">
        <v>48</v>
      </c>
      <c r="J182" s="12" t="s">
        <v>140</v>
      </c>
      <c r="K182" s="12" t="s">
        <v>151</v>
      </c>
      <c r="L182" s="14" t="n">
        <v>1294.17</v>
      </c>
      <c r="M182" s="12" t="s">
        <v>79</v>
      </c>
    </row>
    <row r="183" customFormat="false" ht="15" hidden="false" customHeight="false" outlineLevel="0" collapsed="false">
      <c r="C183" s="12" t="s">
        <v>5</v>
      </c>
      <c r="D183" s="13" t="n">
        <v>2601201</v>
      </c>
      <c r="E183" s="13" t="n">
        <v>2022</v>
      </c>
      <c r="F183" s="12" t="s">
        <v>53</v>
      </c>
      <c r="G183" s="12" t="s">
        <v>149</v>
      </c>
      <c r="H183" s="12" t="s">
        <v>54</v>
      </c>
      <c r="I183" s="12" t="s">
        <v>55</v>
      </c>
      <c r="J183" s="12" t="s">
        <v>56</v>
      </c>
      <c r="K183" s="12" t="s">
        <v>57</v>
      </c>
      <c r="L183" s="14" t="n">
        <v>238057728.87</v>
      </c>
      <c r="M183" s="12" t="s">
        <v>79</v>
      </c>
    </row>
    <row r="184" customFormat="false" ht="15" hidden="false" customHeight="false" outlineLevel="0" collapsed="false">
      <c r="C184" s="12" t="s">
        <v>5</v>
      </c>
      <c r="D184" s="13" t="n">
        <v>2601201</v>
      </c>
      <c r="E184" s="13" t="n">
        <v>2022</v>
      </c>
      <c r="F184" s="12" t="s">
        <v>58</v>
      </c>
      <c r="G184" s="12" t="s">
        <v>149</v>
      </c>
      <c r="H184" s="12" t="s">
        <v>54</v>
      </c>
      <c r="I184" s="12" t="s">
        <v>55</v>
      </c>
      <c r="J184" s="12" t="s">
        <v>56</v>
      </c>
      <c r="K184" s="12" t="s">
        <v>59</v>
      </c>
      <c r="L184" s="14" t="n">
        <v>238057728.87</v>
      </c>
      <c r="M184" s="12" t="s">
        <v>79</v>
      </c>
    </row>
    <row r="185" customFormat="false" ht="15" hidden="false" customHeight="false" outlineLevel="0" collapsed="false">
      <c r="C185" s="12" t="s">
        <v>5</v>
      </c>
      <c r="D185" s="13" t="n">
        <v>2601201</v>
      </c>
      <c r="E185" s="13" t="n">
        <v>2022</v>
      </c>
      <c r="F185" s="12" t="s">
        <v>60</v>
      </c>
      <c r="G185" s="12" t="s">
        <v>149</v>
      </c>
      <c r="H185" s="12" t="s">
        <v>54</v>
      </c>
      <c r="I185" s="12" t="s">
        <v>55</v>
      </c>
      <c r="J185" s="12" t="s">
        <v>56</v>
      </c>
      <c r="K185" s="12" t="s">
        <v>61</v>
      </c>
      <c r="L185" s="14" t="n">
        <v>230890139.27</v>
      </c>
      <c r="M185" s="12" t="s">
        <v>79</v>
      </c>
    </row>
    <row r="186" customFormat="false" ht="15" hidden="false" customHeight="false" outlineLevel="0" collapsed="false">
      <c r="C186" s="12" t="s">
        <v>5</v>
      </c>
      <c r="D186" s="13" t="n">
        <v>2601201</v>
      </c>
      <c r="E186" s="13" t="n">
        <v>2022</v>
      </c>
      <c r="F186" s="12" t="s">
        <v>80</v>
      </c>
      <c r="G186" s="12" t="s">
        <v>149</v>
      </c>
      <c r="H186" s="12" t="s">
        <v>81</v>
      </c>
      <c r="I186" s="12" t="s">
        <v>55</v>
      </c>
      <c r="J186" s="12" t="s">
        <v>82</v>
      </c>
      <c r="K186" s="12" t="s">
        <v>57</v>
      </c>
      <c r="L186" s="14" t="n">
        <v>227426418.66</v>
      </c>
      <c r="M186" s="12" t="s">
        <v>83</v>
      </c>
    </row>
    <row r="187" customFormat="false" ht="15" hidden="false" customHeight="false" outlineLevel="0" collapsed="false">
      <c r="C187" s="12" t="s">
        <v>5</v>
      </c>
      <c r="D187" s="13" t="n">
        <v>2601201</v>
      </c>
      <c r="E187" s="13" t="n">
        <v>2022</v>
      </c>
      <c r="F187" s="12" t="s">
        <v>84</v>
      </c>
      <c r="G187" s="12" t="s">
        <v>149</v>
      </c>
      <c r="H187" s="12" t="s">
        <v>81</v>
      </c>
      <c r="I187" s="12" t="s">
        <v>55</v>
      </c>
      <c r="J187" s="12" t="s">
        <v>82</v>
      </c>
      <c r="K187" s="12" t="s">
        <v>59</v>
      </c>
      <c r="L187" s="14" t="n">
        <v>227426418.66</v>
      </c>
      <c r="M187" s="12" t="s">
        <v>83</v>
      </c>
    </row>
    <row r="188" customFormat="false" ht="15" hidden="false" customHeight="false" outlineLevel="0" collapsed="false">
      <c r="C188" s="12" t="s">
        <v>5</v>
      </c>
      <c r="D188" s="13" t="n">
        <v>2601201</v>
      </c>
      <c r="E188" s="13" t="n">
        <v>2022</v>
      </c>
      <c r="F188" s="12" t="s">
        <v>85</v>
      </c>
      <c r="G188" s="12" t="s">
        <v>149</v>
      </c>
      <c r="H188" s="12" t="s">
        <v>81</v>
      </c>
      <c r="I188" s="12" t="s">
        <v>55</v>
      </c>
      <c r="J188" s="12" t="s">
        <v>82</v>
      </c>
      <c r="K188" s="12" t="s">
        <v>61</v>
      </c>
      <c r="L188" s="14" t="n">
        <v>221080179.15</v>
      </c>
      <c r="M188" s="12" t="s">
        <v>83</v>
      </c>
    </row>
    <row r="189" customFormat="false" ht="15" hidden="false" customHeight="false" outlineLevel="0" collapsed="false">
      <c r="C189" s="12" t="s">
        <v>5</v>
      </c>
      <c r="D189" s="13" t="n">
        <v>2601201</v>
      </c>
      <c r="E189" s="13" t="n">
        <v>2022</v>
      </c>
      <c r="F189" s="12" t="s">
        <v>141</v>
      </c>
      <c r="G189" s="12" t="s">
        <v>149</v>
      </c>
      <c r="H189" s="12" t="s">
        <v>47</v>
      </c>
      <c r="I189" s="12" t="s">
        <v>142</v>
      </c>
      <c r="J189" s="12" t="s">
        <v>143</v>
      </c>
      <c r="K189" s="12" t="s">
        <v>50</v>
      </c>
      <c r="L189" s="14" t="n">
        <v>10434270.7</v>
      </c>
      <c r="M189" s="12" t="s">
        <v>79</v>
      </c>
    </row>
    <row r="190" customFormat="false" ht="15" hidden="false" customHeight="false" outlineLevel="0" collapsed="false">
      <c r="C190" s="12" t="s">
        <v>5</v>
      </c>
      <c r="D190" s="13" t="n">
        <v>2601201</v>
      </c>
      <c r="E190" s="13" t="n">
        <v>2022</v>
      </c>
      <c r="F190" s="12" t="s">
        <v>144</v>
      </c>
      <c r="G190" s="12" t="s">
        <v>149</v>
      </c>
      <c r="H190" s="12" t="s">
        <v>47</v>
      </c>
      <c r="I190" s="12" t="s">
        <v>145</v>
      </c>
      <c r="J190" s="12" t="s">
        <v>146</v>
      </c>
      <c r="K190" s="12" t="s">
        <v>50</v>
      </c>
      <c r="L190" s="14" t="n">
        <v>247951324.61</v>
      </c>
      <c r="M190" s="12" t="s">
        <v>79</v>
      </c>
    </row>
    <row r="191" customFormat="false" ht="15" hidden="false" customHeight="false" outlineLevel="0" collapsed="false">
      <c r="C191" s="12" t="s">
        <v>5</v>
      </c>
      <c r="D191" s="13" t="n">
        <v>2601201</v>
      </c>
      <c r="E191" s="13" t="n">
        <v>2022</v>
      </c>
      <c r="F191" s="12" t="s">
        <v>62</v>
      </c>
      <c r="G191" s="12" t="s">
        <v>149</v>
      </c>
      <c r="H191" s="12" t="s">
        <v>47</v>
      </c>
      <c r="I191" s="12" t="s">
        <v>117</v>
      </c>
      <c r="J191" s="12" t="s">
        <v>118</v>
      </c>
      <c r="K191" s="12" t="s">
        <v>50</v>
      </c>
      <c r="L191" s="14" t="n">
        <v>27354130.63</v>
      </c>
      <c r="M191" s="12" t="s">
        <v>79</v>
      </c>
    </row>
    <row r="192" customFormat="false" ht="15" hidden="false" customHeight="false" outlineLevel="0" collapsed="false">
      <c r="C192" s="12" t="s">
        <v>5</v>
      </c>
      <c r="D192" s="13" t="n">
        <v>2601201</v>
      </c>
      <c r="E192" s="13" t="n">
        <v>2022</v>
      </c>
      <c r="F192" s="12" t="s">
        <v>65</v>
      </c>
      <c r="G192" s="12" t="s">
        <v>149</v>
      </c>
      <c r="H192" s="12" t="s">
        <v>47</v>
      </c>
      <c r="I192" s="12" t="s">
        <v>119</v>
      </c>
      <c r="J192" s="12" t="s">
        <v>120</v>
      </c>
      <c r="K192" s="12" t="s">
        <v>50</v>
      </c>
      <c r="L192" s="14" t="n">
        <v>186610824.16</v>
      </c>
      <c r="M192" s="12" t="s">
        <v>79</v>
      </c>
    </row>
    <row r="193" customFormat="false" ht="15" hidden="false" customHeight="false" outlineLevel="0" collapsed="false">
      <c r="C193" s="12" t="s">
        <v>5</v>
      </c>
      <c r="D193" s="13" t="n">
        <v>2601201</v>
      </c>
      <c r="E193" s="13" t="n">
        <v>2022</v>
      </c>
      <c r="F193" s="12" t="s">
        <v>68</v>
      </c>
      <c r="G193" s="12" t="s">
        <v>149</v>
      </c>
      <c r="H193" s="12" t="s">
        <v>47</v>
      </c>
      <c r="I193" s="12" t="s">
        <v>121</v>
      </c>
      <c r="J193" s="12" t="s">
        <v>122</v>
      </c>
      <c r="K193" s="12" t="s">
        <v>50</v>
      </c>
      <c r="L193" s="14" t="n">
        <v>4992600.19</v>
      </c>
      <c r="M193" s="12" t="s">
        <v>79</v>
      </c>
    </row>
    <row r="194" customFormat="false" ht="15" hidden="false" customHeight="false" outlineLevel="0" collapsed="false">
      <c r="C194" s="12" t="s">
        <v>5</v>
      </c>
      <c r="D194" s="13" t="n">
        <v>2601201</v>
      </c>
      <c r="E194" s="13" t="n">
        <v>2022</v>
      </c>
      <c r="F194" s="12" t="s">
        <v>71</v>
      </c>
      <c r="G194" s="12" t="s">
        <v>149</v>
      </c>
      <c r="H194" s="12" t="s">
        <v>47</v>
      </c>
      <c r="I194" s="12" t="s">
        <v>123</v>
      </c>
      <c r="J194" s="12" t="s">
        <v>124</v>
      </c>
      <c r="K194" s="12" t="s">
        <v>50</v>
      </c>
      <c r="L194" s="14" t="n">
        <v>113561984.9</v>
      </c>
      <c r="M194" s="12" t="s">
        <v>79</v>
      </c>
    </row>
    <row r="195" customFormat="false" ht="15" hidden="false" customHeight="false" outlineLevel="0" collapsed="false">
      <c r="C195" s="12" t="s">
        <v>5</v>
      </c>
      <c r="D195" s="13" t="n">
        <v>2601201</v>
      </c>
      <c r="E195" s="13" t="n">
        <v>2022</v>
      </c>
      <c r="F195" s="12" t="s">
        <v>71</v>
      </c>
      <c r="G195" s="12" t="s">
        <v>149</v>
      </c>
      <c r="H195" s="12" t="s">
        <v>47</v>
      </c>
      <c r="I195" s="12" t="s">
        <v>125</v>
      </c>
      <c r="J195" s="12" t="s">
        <v>126</v>
      </c>
      <c r="K195" s="12" t="s">
        <v>50</v>
      </c>
      <c r="L195" s="14" t="n">
        <v>34409944.5</v>
      </c>
      <c r="M195" s="12" t="s">
        <v>79</v>
      </c>
    </row>
    <row r="196" customFormat="false" ht="15" hidden="false" customHeight="false" outlineLevel="0" collapsed="false">
      <c r="C196" s="12" t="s">
        <v>5</v>
      </c>
      <c r="D196" s="13" t="n">
        <v>2601201</v>
      </c>
      <c r="E196" s="13" t="n">
        <v>2022</v>
      </c>
      <c r="F196" s="12" t="s">
        <v>74</v>
      </c>
      <c r="G196" s="12" t="s">
        <v>149</v>
      </c>
      <c r="H196" s="12" t="s">
        <v>47</v>
      </c>
      <c r="I196" s="12" t="s">
        <v>127</v>
      </c>
      <c r="J196" s="12" t="s">
        <v>128</v>
      </c>
      <c r="K196" s="12" t="s">
        <v>50</v>
      </c>
      <c r="L196" s="14" t="n">
        <v>3688730.5</v>
      </c>
      <c r="M196" s="12" t="s">
        <v>79</v>
      </c>
    </row>
    <row r="197" customFormat="false" ht="15" hidden="false" customHeight="false" outlineLevel="0" collapsed="false">
      <c r="C197" s="12" t="s">
        <v>5</v>
      </c>
      <c r="D197" s="13" t="n">
        <v>2601201</v>
      </c>
      <c r="E197" s="13" t="n">
        <v>2022</v>
      </c>
      <c r="F197" s="12" t="s">
        <v>74</v>
      </c>
      <c r="G197" s="12" t="s">
        <v>149</v>
      </c>
      <c r="H197" s="12" t="s">
        <v>47</v>
      </c>
      <c r="I197" s="12" t="s">
        <v>129</v>
      </c>
      <c r="J197" s="12" t="s">
        <v>130</v>
      </c>
      <c r="K197" s="12" t="s">
        <v>50</v>
      </c>
      <c r="L197" s="14" t="n">
        <v>1303869.69</v>
      </c>
      <c r="M197" s="12" t="s">
        <v>79</v>
      </c>
    </row>
    <row r="198" customFormat="false" ht="15" hidden="false" customHeight="false" outlineLevel="0" collapsed="false">
      <c r="C198" s="12" t="s">
        <v>5</v>
      </c>
      <c r="D198" s="13" t="n">
        <v>2601201</v>
      </c>
      <c r="E198" s="13" t="n">
        <v>2022</v>
      </c>
      <c r="F198" s="12" t="s">
        <v>86</v>
      </c>
      <c r="G198" s="12" t="s">
        <v>149</v>
      </c>
      <c r="H198" s="12" t="s">
        <v>81</v>
      </c>
      <c r="I198" s="12" t="s">
        <v>55</v>
      </c>
      <c r="J198" s="12" t="s">
        <v>87</v>
      </c>
      <c r="K198" s="12" t="s">
        <v>57</v>
      </c>
      <c r="L198" s="14" t="n">
        <v>7268466.66</v>
      </c>
      <c r="M198" s="12" t="s">
        <v>83</v>
      </c>
    </row>
    <row r="199" customFormat="false" ht="15" hidden="false" customHeight="false" outlineLevel="0" collapsed="false">
      <c r="C199" s="12" t="s">
        <v>5</v>
      </c>
      <c r="D199" s="13" t="n">
        <v>2601201</v>
      </c>
      <c r="E199" s="13" t="n">
        <v>2022</v>
      </c>
      <c r="F199" s="12" t="s">
        <v>88</v>
      </c>
      <c r="G199" s="12" t="s">
        <v>149</v>
      </c>
      <c r="H199" s="12" t="s">
        <v>81</v>
      </c>
      <c r="I199" s="12" t="s">
        <v>55</v>
      </c>
      <c r="J199" s="12" t="s">
        <v>89</v>
      </c>
      <c r="K199" s="12" t="s">
        <v>57</v>
      </c>
      <c r="L199" s="14" t="n">
        <v>49718927.16</v>
      </c>
      <c r="M199" s="12" t="s">
        <v>83</v>
      </c>
    </row>
    <row r="200" customFormat="false" ht="15" hidden="false" customHeight="false" outlineLevel="0" collapsed="false">
      <c r="C200" s="12" t="s">
        <v>5</v>
      </c>
      <c r="D200" s="13" t="n">
        <v>2601201</v>
      </c>
      <c r="E200" s="13" t="n">
        <v>2022</v>
      </c>
      <c r="F200" s="12" t="s">
        <v>90</v>
      </c>
      <c r="G200" s="12" t="s">
        <v>149</v>
      </c>
      <c r="H200" s="12" t="s">
        <v>81</v>
      </c>
      <c r="I200" s="12" t="s">
        <v>55</v>
      </c>
      <c r="J200" s="12" t="s">
        <v>91</v>
      </c>
      <c r="K200" s="12" t="s">
        <v>57</v>
      </c>
      <c r="L200" s="14" t="n">
        <v>8663731.83</v>
      </c>
      <c r="M200" s="12" t="s">
        <v>83</v>
      </c>
    </row>
    <row r="201" customFormat="false" ht="15" hidden="false" customHeight="false" outlineLevel="0" collapsed="false">
      <c r="C201" s="12" t="s">
        <v>5</v>
      </c>
      <c r="D201" s="13" t="n">
        <v>2601201</v>
      </c>
      <c r="E201" s="13" t="n">
        <v>2022</v>
      </c>
      <c r="F201" s="12" t="s">
        <v>92</v>
      </c>
      <c r="G201" s="12" t="s">
        <v>149</v>
      </c>
      <c r="H201" s="12" t="s">
        <v>81</v>
      </c>
      <c r="I201" s="12" t="s">
        <v>55</v>
      </c>
      <c r="J201" s="12" t="s">
        <v>93</v>
      </c>
      <c r="K201" s="12" t="s">
        <v>57</v>
      </c>
      <c r="L201" s="14" t="n">
        <v>21980440.17</v>
      </c>
      <c r="M201" s="12" t="s">
        <v>83</v>
      </c>
    </row>
    <row r="202" customFormat="false" ht="15" hidden="false" customHeight="false" outlineLevel="0" collapsed="false">
      <c r="C202" s="12" t="s">
        <v>5</v>
      </c>
      <c r="D202" s="13" t="n">
        <v>2601201</v>
      </c>
      <c r="E202" s="13" t="n">
        <v>2022</v>
      </c>
      <c r="F202" s="12" t="s">
        <v>94</v>
      </c>
      <c r="G202" s="12" t="s">
        <v>149</v>
      </c>
      <c r="H202" s="12" t="s">
        <v>81</v>
      </c>
      <c r="I202" s="12" t="s">
        <v>55</v>
      </c>
      <c r="J202" s="12" t="s">
        <v>95</v>
      </c>
      <c r="K202" s="12" t="s">
        <v>57</v>
      </c>
      <c r="L202" s="14" t="n">
        <v>48895351.86</v>
      </c>
      <c r="M202" s="12" t="s">
        <v>83</v>
      </c>
    </row>
    <row r="203" customFormat="false" ht="15" hidden="false" customHeight="false" outlineLevel="0" collapsed="false">
      <c r="C203" s="12" t="s">
        <v>5</v>
      </c>
      <c r="D203" s="13" t="n">
        <v>2601201</v>
      </c>
      <c r="E203" s="13" t="n">
        <v>2022</v>
      </c>
      <c r="F203" s="12" t="s">
        <v>96</v>
      </c>
      <c r="G203" s="12" t="s">
        <v>149</v>
      </c>
      <c r="H203" s="12" t="s">
        <v>81</v>
      </c>
      <c r="I203" s="12" t="s">
        <v>55</v>
      </c>
      <c r="J203" s="12" t="s">
        <v>97</v>
      </c>
      <c r="K203" s="12" t="s">
        <v>57</v>
      </c>
      <c r="L203" s="14" t="n">
        <v>4924.26</v>
      </c>
      <c r="M203" s="12" t="s">
        <v>83</v>
      </c>
    </row>
    <row r="204" customFormat="false" ht="15" hidden="false" customHeight="false" outlineLevel="0" collapsed="false">
      <c r="C204" s="12" t="s">
        <v>5</v>
      </c>
      <c r="D204" s="13" t="n">
        <v>2601201</v>
      </c>
      <c r="E204" s="13" t="n">
        <v>2022</v>
      </c>
      <c r="F204" s="12" t="s">
        <v>98</v>
      </c>
      <c r="G204" s="12" t="s">
        <v>149</v>
      </c>
      <c r="H204" s="12" t="s">
        <v>81</v>
      </c>
      <c r="I204" s="12" t="s">
        <v>55</v>
      </c>
      <c r="J204" s="12" t="s">
        <v>99</v>
      </c>
      <c r="K204" s="12" t="s">
        <v>57</v>
      </c>
      <c r="L204" s="14" t="n">
        <v>66437915.67</v>
      </c>
      <c r="M204" s="12" t="s">
        <v>83</v>
      </c>
    </row>
    <row r="205" customFormat="false" ht="15" hidden="false" customHeight="false" outlineLevel="0" collapsed="false">
      <c r="C205" s="12" t="s">
        <v>5</v>
      </c>
      <c r="D205" s="13" t="n">
        <v>2601201</v>
      </c>
      <c r="E205" s="13" t="n">
        <v>2022</v>
      </c>
      <c r="F205" s="12" t="s">
        <v>100</v>
      </c>
      <c r="G205" s="12" t="s">
        <v>149</v>
      </c>
      <c r="H205" s="12" t="s">
        <v>81</v>
      </c>
      <c r="I205" s="12" t="s">
        <v>55</v>
      </c>
      <c r="J205" s="12" t="s">
        <v>101</v>
      </c>
      <c r="K205" s="12" t="s">
        <v>57</v>
      </c>
      <c r="L205" s="14" t="n">
        <v>469396.42</v>
      </c>
      <c r="M205" s="12" t="s">
        <v>83</v>
      </c>
    </row>
    <row r="206" customFormat="false" ht="15" hidden="false" customHeight="false" outlineLevel="0" collapsed="false">
      <c r="C206" s="12" t="s">
        <v>5</v>
      </c>
      <c r="D206" s="13" t="n">
        <v>2601201</v>
      </c>
      <c r="E206" s="13" t="n">
        <v>2022</v>
      </c>
      <c r="F206" s="12" t="s">
        <v>133</v>
      </c>
      <c r="G206" s="12" t="s">
        <v>149</v>
      </c>
      <c r="H206" s="12" t="s">
        <v>81</v>
      </c>
      <c r="I206" s="12" t="s">
        <v>55</v>
      </c>
      <c r="J206" s="12" t="s">
        <v>134</v>
      </c>
      <c r="K206" s="12" t="s">
        <v>57</v>
      </c>
      <c r="L206" s="14" t="n">
        <v>265459</v>
      </c>
      <c r="M206" s="12" t="s">
        <v>83</v>
      </c>
    </row>
    <row r="207" customFormat="false" ht="15" hidden="false" customHeight="false" outlineLevel="0" collapsed="false">
      <c r="C207" s="12" t="s">
        <v>5</v>
      </c>
      <c r="D207" s="13" t="n">
        <v>2601201</v>
      </c>
      <c r="E207" s="13" t="n">
        <v>2022</v>
      </c>
      <c r="F207" s="12" t="s">
        <v>102</v>
      </c>
      <c r="G207" s="12" t="s">
        <v>149</v>
      </c>
      <c r="H207" s="12" t="s">
        <v>81</v>
      </c>
      <c r="I207" s="12" t="s">
        <v>55</v>
      </c>
      <c r="J207" s="12" t="s">
        <v>103</v>
      </c>
      <c r="K207" s="12" t="s">
        <v>57</v>
      </c>
      <c r="L207" s="14" t="n">
        <v>11572091.41</v>
      </c>
      <c r="M207" s="12" t="s">
        <v>83</v>
      </c>
    </row>
    <row r="208" customFormat="false" ht="15" hidden="false" customHeight="false" outlineLevel="0" collapsed="false">
      <c r="C208" s="12" t="s">
        <v>5</v>
      </c>
      <c r="D208" s="13" t="n">
        <v>2601201</v>
      </c>
      <c r="E208" s="13" t="n">
        <v>2022</v>
      </c>
      <c r="F208" s="12" t="s">
        <v>106</v>
      </c>
      <c r="G208" s="12" t="s">
        <v>149</v>
      </c>
      <c r="H208" s="12" t="s">
        <v>81</v>
      </c>
      <c r="I208" s="12" t="s">
        <v>55</v>
      </c>
      <c r="J208" s="12" t="s">
        <v>107</v>
      </c>
      <c r="K208" s="12" t="s">
        <v>57</v>
      </c>
      <c r="L208" s="14" t="n">
        <v>1227289.15</v>
      </c>
      <c r="M208" s="12" t="s">
        <v>83</v>
      </c>
    </row>
    <row r="209" customFormat="false" ht="15" hidden="false" customHeight="false" outlineLevel="0" collapsed="false">
      <c r="C209" s="12" t="s">
        <v>5</v>
      </c>
      <c r="D209" s="13" t="n">
        <v>2601201</v>
      </c>
      <c r="E209" s="13" t="n">
        <v>2022</v>
      </c>
      <c r="F209" s="12" t="s">
        <v>108</v>
      </c>
      <c r="G209" s="12" t="s">
        <v>149</v>
      </c>
      <c r="H209" s="12" t="s">
        <v>81</v>
      </c>
      <c r="I209" s="12" t="s">
        <v>55</v>
      </c>
      <c r="J209" s="12" t="s">
        <v>109</v>
      </c>
      <c r="K209" s="12" t="s">
        <v>57</v>
      </c>
      <c r="L209" s="14" t="n">
        <v>70761.52</v>
      </c>
      <c r="M209" s="12" t="s">
        <v>83</v>
      </c>
    </row>
    <row r="210" customFormat="false" ht="15" hidden="false" customHeight="false" outlineLevel="0" collapsed="false">
      <c r="C210" s="12" t="s">
        <v>5</v>
      </c>
      <c r="D210" s="13" t="n">
        <v>2601201</v>
      </c>
      <c r="E210" s="13" t="n">
        <v>2022</v>
      </c>
      <c r="F210" s="12" t="s">
        <v>110</v>
      </c>
      <c r="G210" s="12" t="s">
        <v>149</v>
      </c>
      <c r="H210" s="12" t="s">
        <v>81</v>
      </c>
      <c r="I210" s="12" t="s">
        <v>55</v>
      </c>
      <c r="J210" s="12" t="s">
        <v>111</v>
      </c>
      <c r="K210" s="12" t="s">
        <v>57</v>
      </c>
      <c r="L210" s="14" t="n">
        <v>4505261.92</v>
      </c>
      <c r="M210" s="12" t="s">
        <v>83</v>
      </c>
    </row>
    <row r="211" customFormat="false" ht="15" hidden="false" customHeight="false" outlineLevel="0" collapsed="false">
      <c r="C211" s="12" t="s">
        <v>5</v>
      </c>
      <c r="D211" s="13" t="n">
        <v>2601201</v>
      </c>
      <c r="E211" s="13" t="n">
        <v>2022</v>
      </c>
      <c r="F211" s="12" t="s">
        <v>137</v>
      </c>
      <c r="G211" s="12" t="s">
        <v>149</v>
      </c>
      <c r="H211" s="12" t="s">
        <v>81</v>
      </c>
      <c r="I211" s="12" t="s">
        <v>55</v>
      </c>
      <c r="J211" s="12" t="s">
        <v>138</v>
      </c>
      <c r="K211" s="12" t="s">
        <v>57</v>
      </c>
      <c r="L211" s="14" t="n">
        <v>138356.43</v>
      </c>
      <c r="M211" s="12" t="s">
        <v>83</v>
      </c>
    </row>
    <row r="212" customFormat="false" ht="15" hidden="false" customHeight="false" outlineLevel="0" collapsed="false">
      <c r="C212" s="12" t="s">
        <v>5</v>
      </c>
      <c r="D212" s="13" t="n">
        <v>2601201</v>
      </c>
      <c r="E212" s="13" t="n">
        <v>2022</v>
      </c>
      <c r="F212" s="12" t="s">
        <v>114</v>
      </c>
      <c r="G212" s="12" t="s">
        <v>149</v>
      </c>
      <c r="H212" s="12" t="s">
        <v>81</v>
      </c>
      <c r="I212" s="12" t="s">
        <v>55</v>
      </c>
      <c r="J212" s="12" t="s">
        <v>115</v>
      </c>
      <c r="K212" s="12" t="s">
        <v>57</v>
      </c>
      <c r="L212" s="14" t="n">
        <v>6208045.2</v>
      </c>
      <c r="M212" s="12" t="s">
        <v>83</v>
      </c>
    </row>
    <row r="213" customFormat="false" ht="15" hidden="false" customHeight="false" outlineLevel="0" collapsed="false">
      <c r="C213" s="12" t="s">
        <v>5</v>
      </c>
      <c r="D213" s="13" t="n">
        <v>2601201</v>
      </c>
      <c r="E213" s="13" t="n">
        <v>2023</v>
      </c>
      <c r="F213" s="12" t="s">
        <v>45</v>
      </c>
      <c r="G213" s="12" t="s">
        <v>152</v>
      </c>
      <c r="H213" s="12" t="s">
        <v>47</v>
      </c>
      <c r="I213" s="12" t="s">
        <v>48</v>
      </c>
      <c r="J213" s="12" t="s">
        <v>140</v>
      </c>
      <c r="K213" s="12" t="s">
        <v>50</v>
      </c>
      <c r="L213" s="14" t="n">
        <v>280606346.35</v>
      </c>
      <c r="M213" s="12" t="s">
        <v>79</v>
      </c>
    </row>
    <row r="214" customFormat="false" ht="15" hidden="false" customHeight="false" outlineLevel="0" collapsed="false">
      <c r="C214" s="12" t="s">
        <v>5</v>
      </c>
      <c r="D214" s="13" t="n">
        <v>2601201</v>
      </c>
      <c r="E214" s="13" t="n">
        <v>2023</v>
      </c>
      <c r="F214" s="12" t="s">
        <v>51</v>
      </c>
      <c r="G214" s="12" t="s">
        <v>152</v>
      </c>
      <c r="H214" s="12" t="s">
        <v>47</v>
      </c>
      <c r="I214" s="12" t="s">
        <v>48</v>
      </c>
      <c r="J214" s="12" t="s">
        <v>140</v>
      </c>
      <c r="K214" s="12" t="s">
        <v>52</v>
      </c>
      <c r="L214" s="14" t="n">
        <v>19179796.04</v>
      </c>
      <c r="M214" s="12" t="s">
        <v>79</v>
      </c>
    </row>
    <row r="215" customFormat="false" ht="15" hidden="false" customHeight="false" outlineLevel="0" collapsed="false">
      <c r="C215" s="12" t="s">
        <v>5</v>
      </c>
      <c r="D215" s="13" t="n">
        <v>2601201</v>
      </c>
      <c r="E215" s="13" t="n">
        <v>2023</v>
      </c>
      <c r="F215" s="12" t="s">
        <v>150</v>
      </c>
      <c r="G215" s="12" t="s">
        <v>152</v>
      </c>
      <c r="H215" s="12" t="s">
        <v>47</v>
      </c>
      <c r="I215" s="12" t="s">
        <v>48</v>
      </c>
      <c r="J215" s="12" t="s">
        <v>140</v>
      </c>
      <c r="K215" s="12" t="s">
        <v>151</v>
      </c>
      <c r="L215" s="14" t="n">
        <v>795879.78</v>
      </c>
      <c r="M215" s="12" t="s">
        <v>79</v>
      </c>
    </row>
    <row r="216" customFormat="false" ht="15" hidden="false" customHeight="false" outlineLevel="0" collapsed="false">
      <c r="C216" s="12" t="s">
        <v>5</v>
      </c>
      <c r="D216" s="13" t="n">
        <v>2601201</v>
      </c>
      <c r="E216" s="13" t="n">
        <v>2023</v>
      </c>
      <c r="F216" s="12" t="s">
        <v>53</v>
      </c>
      <c r="G216" s="12" t="s">
        <v>152</v>
      </c>
      <c r="H216" s="12" t="s">
        <v>54</v>
      </c>
      <c r="I216" s="12" t="s">
        <v>55</v>
      </c>
      <c r="J216" s="12" t="s">
        <v>56</v>
      </c>
      <c r="K216" s="12" t="s">
        <v>57</v>
      </c>
      <c r="L216" s="14" t="n">
        <v>269469223.81</v>
      </c>
      <c r="M216" s="12" t="s">
        <v>79</v>
      </c>
    </row>
    <row r="217" customFormat="false" ht="15" hidden="false" customHeight="false" outlineLevel="0" collapsed="false">
      <c r="C217" s="12" t="s">
        <v>5</v>
      </c>
      <c r="D217" s="13" t="n">
        <v>2601201</v>
      </c>
      <c r="E217" s="13" t="n">
        <v>2023</v>
      </c>
      <c r="F217" s="12" t="s">
        <v>58</v>
      </c>
      <c r="G217" s="12" t="s">
        <v>152</v>
      </c>
      <c r="H217" s="12" t="s">
        <v>54</v>
      </c>
      <c r="I217" s="12" t="s">
        <v>55</v>
      </c>
      <c r="J217" s="12" t="s">
        <v>56</v>
      </c>
      <c r="K217" s="12" t="s">
        <v>59</v>
      </c>
      <c r="L217" s="14" t="n">
        <v>269469223.81</v>
      </c>
      <c r="M217" s="12" t="s">
        <v>79</v>
      </c>
    </row>
    <row r="218" customFormat="false" ht="15" hidden="false" customHeight="false" outlineLevel="0" collapsed="false">
      <c r="C218" s="12" t="s">
        <v>5</v>
      </c>
      <c r="D218" s="13" t="n">
        <v>2601201</v>
      </c>
      <c r="E218" s="13" t="n">
        <v>2023</v>
      </c>
      <c r="F218" s="12" t="s">
        <v>60</v>
      </c>
      <c r="G218" s="12" t="s">
        <v>152</v>
      </c>
      <c r="H218" s="12" t="s">
        <v>54</v>
      </c>
      <c r="I218" s="12" t="s">
        <v>55</v>
      </c>
      <c r="J218" s="12" t="s">
        <v>56</v>
      </c>
      <c r="K218" s="12" t="s">
        <v>61</v>
      </c>
      <c r="L218" s="14" t="n">
        <v>261892124.03</v>
      </c>
      <c r="M218" s="12" t="s">
        <v>79</v>
      </c>
    </row>
    <row r="219" customFormat="false" ht="15" hidden="false" customHeight="false" outlineLevel="0" collapsed="false">
      <c r="C219" s="12" t="s">
        <v>5</v>
      </c>
      <c r="D219" s="13" t="n">
        <v>2601201</v>
      </c>
      <c r="E219" s="13" t="n">
        <v>2023</v>
      </c>
      <c r="F219" s="12" t="s">
        <v>80</v>
      </c>
      <c r="G219" s="12" t="s">
        <v>152</v>
      </c>
      <c r="H219" s="12" t="s">
        <v>81</v>
      </c>
      <c r="I219" s="12" t="s">
        <v>55</v>
      </c>
      <c r="J219" s="12" t="s">
        <v>82</v>
      </c>
      <c r="K219" s="12" t="s">
        <v>57</v>
      </c>
      <c r="L219" s="14" t="n">
        <v>259207492.71</v>
      </c>
      <c r="M219" s="12" t="s">
        <v>83</v>
      </c>
    </row>
    <row r="220" customFormat="false" ht="15" hidden="false" customHeight="false" outlineLevel="0" collapsed="false">
      <c r="C220" s="12" t="s">
        <v>5</v>
      </c>
      <c r="D220" s="13" t="n">
        <v>2601201</v>
      </c>
      <c r="E220" s="13" t="n">
        <v>2023</v>
      </c>
      <c r="F220" s="12" t="s">
        <v>84</v>
      </c>
      <c r="G220" s="12" t="s">
        <v>152</v>
      </c>
      <c r="H220" s="12" t="s">
        <v>81</v>
      </c>
      <c r="I220" s="12" t="s">
        <v>55</v>
      </c>
      <c r="J220" s="12" t="s">
        <v>82</v>
      </c>
      <c r="K220" s="12" t="s">
        <v>59</v>
      </c>
      <c r="L220" s="14" t="n">
        <v>259207492.71</v>
      </c>
      <c r="M220" s="12" t="s">
        <v>83</v>
      </c>
    </row>
    <row r="221" customFormat="false" ht="15" hidden="false" customHeight="false" outlineLevel="0" collapsed="false">
      <c r="C221" s="12" t="s">
        <v>5</v>
      </c>
      <c r="D221" s="13" t="n">
        <v>2601201</v>
      </c>
      <c r="E221" s="13" t="n">
        <v>2023</v>
      </c>
      <c r="F221" s="12" t="s">
        <v>85</v>
      </c>
      <c r="G221" s="12" t="s">
        <v>152</v>
      </c>
      <c r="H221" s="12" t="s">
        <v>81</v>
      </c>
      <c r="I221" s="12" t="s">
        <v>55</v>
      </c>
      <c r="J221" s="12" t="s">
        <v>82</v>
      </c>
      <c r="K221" s="12" t="s">
        <v>61</v>
      </c>
      <c r="L221" s="14" t="n">
        <v>252872649.65</v>
      </c>
      <c r="M221" s="12" t="s">
        <v>83</v>
      </c>
    </row>
    <row r="222" customFormat="false" ht="15" hidden="false" customHeight="false" outlineLevel="0" collapsed="false">
      <c r="C222" s="12" t="s">
        <v>5</v>
      </c>
      <c r="D222" s="13" t="n">
        <v>2601201</v>
      </c>
      <c r="E222" s="13" t="n">
        <v>2023</v>
      </c>
      <c r="F222" s="12" t="s">
        <v>141</v>
      </c>
      <c r="G222" s="12" t="s">
        <v>152</v>
      </c>
      <c r="H222" s="12" t="s">
        <v>47</v>
      </c>
      <c r="I222" s="12" t="s">
        <v>142</v>
      </c>
      <c r="J222" s="12" t="s">
        <v>143</v>
      </c>
      <c r="K222" s="12" t="s">
        <v>50</v>
      </c>
      <c r="L222" s="14" t="n">
        <v>9762381.44</v>
      </c>
      <c r="M222" s="12" t="s">
        <v>79</v>
      </c>
    </row>
    <row r="223" customFormat="false" ht="15" hidden="false" customHeight="false" outlineLevel="0" collapsed="false">
      <c r="C223" s="12" t="s">
        <v>5</v>
      </c>
      <c r="D223" s="13" t="n">
        <v>2601201</v>
      </c>
      <c r="E223" s="13" t="n">
        <v>2023</v>
      </c>
      <c r="F223" s="12" t="s">
        <v>144</v>
      </c>
      <c r="G223" s="12" t="s">
        <v>152</v>
      </c>
      <c r="H223" s="12" t="s">
        <v>47</v>
      </c>
      <c r="I223" s="12" t="s">
        <v>145</v>
      </c>
      <c r="J223" s="12" t="s">
        <v>146</v>
      </c>
      <c r="K223" s="12" t="s">
        <v>50</v>
      </c>
      <c r="L223" s="14" t="n">
        <v>270843964.91</v>
      </c>
      <c r="M223" s="12" t="s">
        <v>79</v>
      </c>
    </row>
    <row r="224" customFormat="false" ht="15" hidden="false" customHeight="false" outlineLevel="0" collapsed="false">
      <c r="C224" s="12" t="s">
        <v>5</v>
      </c>
      <c r="D224" s="13" t="n">
        <v>2601201</v>
      </c>
      <c r="E224" s="13" t="n">
        <v>2023</v>
      </c>
      <c r="F224" s="12" t="s">
        <v>62</v>
      </c>
      <c r="G224" s="12" t="s">
        <v>152</v>
      </c>
      <c r="H224" s="12" t="s">
        <v>47</v>
      </c>
      <c r="I224" s="12" t="s">
        <v>117</v>
      </c>
      <c r="J224" s="12" t="s">
        <v>118</v>
      </c>
      <c r="K224" s="12" t="s">
        <v>50</v>
      </c>
      <c r="L224" s="14" t="n">
        <v>29430463.83</v>
      </c>
      <c r="M224" s="12" t="s">
        <v>79</v>
      </c>
    </row>
    <row r="225" customFormat="false" ht="15" hidden="false" customHeight="false" outlineLevel="0" collapsed="false">
      <c r="C225" s="12" t="s">
        <v>5</v>
      </c>
      <c r="D225" s="13" t="n">
        <v>2601201</v>
      </c>
      <c r="E225" s="13" t="n">
        <v>2023</v>
      </c>
      <c r="F225" s="12" t="s">
        <v>65</v>
      </c>
      <c r="G225" s="12" t="s">
        <v>152</v>
      </c>
      <c r="H225" s="12" t="s">
        <v>47</v>
      </c>
      <c r="I225" s="12" t="s">
        <v>119</v>
      </c>
      <c r="J225" s="12" t="s">
        <v>120</v>
      </c>
      <c r="K225" s="12" t="s">
        <v>50</v>
      </c>
      <c r="L225" s="14" t="n">
        <v>199385225.86</v>
      </c>
      <c r="M225" s="12" t="s">
        <v>79</v>
      </c>
    </row>
    <row r="226" customFormat="false" ht="15" hidden="false" customHeight="false" outlineLevel="0" collapsed="false">
      <c r="C226" s="12" t="s">
        <v>5</v>
      </c>
      <c r="D226" s="13" t="n">
        <v>2601201</v>
      </c>
      <c r="E226" s="13" t="n">
        <v>2023</v>
      </c>
      <c r="F226" s="12" t="s">
        <v>68</v>
      </c>
      <c r="G226" s="12" t="s">
        <v>152</v>
      </c>
      <c r="H226" s="12" t="s">
        <v>47</v>
      </c>
      <c r="I226" s="12" t="s">
        <v>121</v>
      </c>
      <c r="J226" s="12" t="s">
        <v>122</v>
      </c>
      <c r="K226" s="12" t="s">
        <v>50</v>
      </c>
      <c r="L226" s="14" t="n">
        <v>6701597.06</v>
      </c>
      <c r="M226" s="12" t="s">
        <v>79</v>
      </c>
    </row>
    <row r="227" customFormat="false" ht="15" hidden="false" customHeight="false" outlineLevel="0" collapsed="false">
      <c r="C227" s="12" t="s">
        <v>5</v>
      </c>
      <c r="D227" s="13" t="n">
        <v>2601201</v>
      </c>
      <c r="E227" s="13" t="n">
        <v>2023</v>
      </c>
      <c r="F227" s="12" t="s">
        <v>71</v>
      </c>
      <c r="G227" s="12" t="s">
        <v>152</v>
      </c>
      <c r="H227" s="12" t="s">
        <v>47</v>
      </c>
      <c r="I227" s="12" t="s">
        <v>123</v>
      </c>
      <c r="J227" s="12" t="s">
        <v>124</v>
      </c>
      <c r="K227" s="12" t="s">
        <v>50</v>
      </c>
      <c r="L227" s="14" t="n">
        <v>120195726.74</v>
      </c>
      <c r="M227" s="12" t="s">
        <v>79</v>
      </c>
    </row>
    <row r="228" customFormat="false" ht="15" hidden="false" customHeight="false" outlineLevel="0" collapsed="false">
      <c r="C228" s="12" t="s">
        <v>5</v>
      </c>
      <c r="D228" s="13" t="n">
        <v>2601201</v>
      </c>
      <c r="E228" s="13" t="n">
        <v>2023</v>
      </c>
      <c r="F228" s="12" t="s">
        <v>71</v>
      </c>
      <c r="G228" s="12" t="s">
        <v>152</v>
      </c>
      <c r="H228" s="12" t="s">
        <v>47</v>
      </c>
      <c r="I228" s="12" t="s">
        <v>125</v>
      </c>
      <c r="J228" s="12" t="s">
        <v>126</v>
      </c>
      <c r="K228" s="12" t="s">
        <v>50</v>
      </c>
      <c r="L228" s="14" t="n">
        <v>38895544.86</v>
      </c>
      <c r="M228" s="12" t="s">
        <v>79</v>
      </c>
    </row>
    <row r="229" customFormat="false" ht="15" hidden="false" customHeight="false" outlineLevel="0" collapsed="false">
      <c r="C229" s="12" t="s">
        <v>5</v>
      </c>
      <c r="D229" s="13" t="n">
        <v>2601201</v>
      </c>
      <c r="E229" s="13" t="n">
        <v>2023</v>
      </c>
      <c r="F229" s="12" t="s">
        <v>74</v>
      </c>
      <c r="G229" s="12" t="s">
        <v>152</v>
      </c>
      <c r="H229" s="12" t="s">
        <v>47</v>
      </c>
      <c r="I229" s="12" t="s">
        <v>127</v>
      </c>
      <c r="J229" s="12" t="s">
        <v>128</v>
      </c>
      <c r="K229" s="12" t="s">
        <v>50</v>
      </c>
      <c r="L229" s="14" t="n">
        <v>6451544.23</v>
      </c>
      <c r="M229" s="12" t="s">
        <v>79</v>
      </c>
    </row>
    <row r="230" customFormat="false" ht="15" hidden="false" customHeight="false" outlineLevel="0" collapsed="false">
      <c r="C230" s="12" t="s">
        <v>5</v>
      </c>
      <c r="D230" s="13" t="n">
        <v>2601201</v>
      </c>
      <c r="E230" s="13" t="n">
        <v>2023</v>
      </c>
      <c r="F230" s="12" t="s">
        <v>74</v>
      </c>
      <c r="G230" s="12" t="s">
        <v>152</v>
      </c>
      <c r="H230" s="12" t="s">
        <v>47</v>
      </c>
      <c r="I230" s="12" t="s">
        <v>129</v>
      </c>
      <c r="J230" s="12" t="s">
        <v>130</v>
      </c>
      <c r="K230" s="12" t="s">
        <v>50</v>
      </c>
      <c r="L230" s="14" t="n">
        <v>250052.83</v>
      </c>
      <c r="M230" s="12" t="s">
        <v>79</v>
      </c>
    </row>
    <row r="231" customFormat="false" ht="15" hidden="false" customHeight="false" outlineLevel="0" collapsed="false">
      <c r="C231" s="12" t="s">
        <v>5</v>
      </c>
      <c r="D231" s="13" t="n">
        <v>2601201</v>
      </c>
      <c r="E231" s="13" t="n">
        <v>2023</v>
      </c>
      <c r="F231" s="12" t="s">
        <v>86</v>
      </c>
      <c r="G231" s="12" t="s">
        <v>152</v>
      </c>
      <c r="H231" s="12" t="s">
        <v>81</v>
      </c>
      <c r="I231" s="12" t="s">
        <v>55</v>
      </c>
      <c r="J231" s="12" t="s">
        <v>87</v>
      </c>
      <c r="K231" s="12" t="s">
        <v>57</v>
      </c>
      <c r="L231" s="14" t="n">
        <v>9428171.63</v>
      </c>
      <c r="M231" s="12" t="s">
        <v>83</v>
      </c>
    </row>
    <row r="232" customFormat="false" ht="15" hidden="false" customHeight="false" outlineLevel="0" collapsed="false">
      <c r="C232" s="12" t="s">
        <v>5</v>
      </c>
      <c r="D232" s="13" t="n">
        <v>2601201</v>
      </c>
      <c r="E232" s="13" t="n">
        <v>2023</v>
      </c>
      <c r="F232" s="12" t="s">
        <v>88</v>
      </c>
      <c r="G232" s="12" t="s">
        <v>152</v>
      </c>
      <c r="H232" s="12" t="s">
        <v>81</v>
      </c>
      <c r="I232" s="12" t="s">
        <v>55</v>
      </c>
      <c r="J232" s="12" t="s">
        <v>89</v>
      </c>
      <c r="K232" s="12" t="s">
        <v>57</v>
      </c>
      <c r="L232" s="14" t="n">
        <v>50781671.44</v>
      </c>
      <c r="M232" s="12" t="s">
        <v>83</v>
      </c>
    </row>
    <row r="233" customFormat="false" ht="15" hidden="false" customHeight="false" outlineLevel="0" collapsed="false">
      <c r="C233" s="12" t="s">
        <v>5</v>
      </c>
      <c r="D233" s="13" t="n">
        <v>2601201</v>
      </c>
      <c r="E233" s="13" t="n">
        <v>2023</v>
      </c>
      <c r="F233" s="12" t="s">
        <v>90</v>
      </c>
      <c r="G233" s="12" t="s">
        <v>152</v>
      </c>
      <c r="H233" s="12" t="s">
        <v>81</v>
      </c>
      <c r="I233" s="12" t="s">
        <v>55</v>
      </c>
      <c r="J233" s="12" t="s">
        <v>91</v>
      </c>
      <c r="K233" s="12" t="s">
        <v>57</v>
      </c>
      <c r="L233" s="14" t="n">
        <v>14735134.12</v>
      </c>
      <c r="M233" s="12" t="s">
        <v>83</v>
      </c>
    </row>
    <row r="234" customFormat="false" ht="15" hidden="false" customHeight="false" outlineLevel="0" collapsed="false">
      <c r="C234" s="12" t="s">
        <v>5</v>
      </c>
      <c r="D234" s="13" t="n">
        <v>2601201</v>
      </c>
      <c r="E234" s="13" t="n">
        <v>2023</v>
      </c>
      <c r="F234" s="12" t="s">
        <v>92</v>
      </c>
      <c r="G234" s="12" t="s">
        <v>152</v>
      </c>
      <c r="H234" s="12" t="s">
        <v>81</v>
      </c>
      <c r="I234" s="12" t="s">
        <v>55</v>
      </c>
      <c r="J234" s="12" t="s">
        <v>93</v>
      </c>
      <c r="K234" s="12" t="s">
        <v>57</v>
      </c>
      <c r="L234" s="14" t="n">
        <v>36086398.24</v>
      </c>
      <c r="M234" s="12" t="s">
        <v>83</v>
      </c>
    </row>
    <row r="235" customFormat="false" ht="15" hidden="false" customHeight="false" outlineLevel="0" collapsed="false">
      <c r="C235" s="12" t="s">
        <v>5</v>
      </c>
      <c r="D235" s="13" t="n">
        <v>2601201</v>
      </c>
      <c r="E235" s="13" t="n">
        <v>2023</v>
      </c>
      <c r="F235" s="12" t="s">
        <v>94</v>
      </c>
      <c r="G235" s="12" t="s">
        <v>152</v>
      </c>
      <c r="H235" s="12" t="s">
        <v>81</v>
      </c>
      <c r="I235" s="12" t="s">
        <v>55</v>
      </c>
      <c r="J235" s="12" t="s">
        <v>95</v>
      </c>
      <c r="K235" s="12" t="s">
        <v>57</v>
      </c>
      <c r="L235" s="14" t="n">
        <v>52938108.48</v>
      </c>
      <c r="M235" s="12" t="s">
        <v>83</v>
      </c>
    </row>
    <row r="236" customFormat="false" ht="15" hidden="false" customHeight="false" outlineLevel="0" collapsed="false">
      <c r="C236" s="12" t="s">
        <v>5</v>
      </c>
      <c r="D236" s="13" t="n">
        <v>2601201</v>
      </c>
      <c r="E236" s="13" t="n">
        <v>2023</v>
      </c>
      <c r="F236" s="12" t="s">
        <v>96</v>
      </c>
      <c r="G236" s="12" t="s">
        <v>152</v>
      </c>
      <c r="H236" s="12" t="s">
        <v>81</v>
      </c>
      <c r="I236" s="12" t="s">
        <v>55</v>
      </c>
      <c r="J236" s="12" t="s">
        <v>97</v>
      </c>
      <c r="K236" s="12" t="s">
        <v>57</v>
      </c>
      <c r="L236" s="14" t="n">
        <v>36000</v>
      </c>
      <c r="M236" s="12" t="s">
        <v>83</v>
      </c>
    </row>
    <row r="237" customFormat="false" ht="15" hidden="false" customHeight="false" outlineLevel="0" collapsed="false">
      <c r="C237" s="12" t="s">
        <v>5</v>
      </c>
      <c r="D237" s="13" t="n">
        <v>2601201</v>
      </c>
      <c r="E237" s="13" t="n">
        <v>2023</v>
      </c>
      <c r="F237" s="12" t="s">
        <v>98</v>
      </c>
      <c r="G237" s="12" t="s">
        <v>152</v>
      </c>
      <c r="H237" s="12" t="s">
        <v>81</v>
      </c>
      <c r="I237" s="12" t="s">
        <v>55</v>
      </c>
      <c r="J237" s="12" t="s">
        <v>99</v>
      </c>
      <c r="K237" s="12" t="s">
        <v>57</v>
      </c>
      <c r="L237" s="14" t="n">
        <v>70329076.69</v>
      </c>
      <c r="M237" s="12" t="s">
        <v>83</v>
      </c>
    </row>
    <row r="238" customFormat="false" ht="15" hidden="false" customHeight="false" outlineLevel="0" collapsed="false">
      <c r="C238" s="12" t="s">
        <v>5</v>
      </c>
      <c r="D238" s="13" t="n">
        <v>2601201</v>
      </c>
      <c r="E238" s="13" t="n">
        <v>2023</v>
      </c>
      <c r="F238" s="12" t="s">
        <v>100</v>
      </c>
      <c r="G238" s="12" t="s">
        <v>152</v>
      </c>
      <c r="H238" s="12" t="s">
        <v>81</v>
      </c>
      <c r="I238" s="12" t="s">
        <v>55</v>
      </c>
      <c r="J238" s="12" t="s">
        <v>101</v>
      </c>
      <c r="K238" s="12" t="s">
        <v>57</v>
      </c>
      <c r="L238" s="14" t="n">
        <v>1402840.37</v>
      </c>
      <c r="M238" s="12" t="s">
        <v>83</v>
      </c>
    </row>
    <row r="239" customFormat="false" ht="15" hidden="false" customHeight="false" outlineLevel="0" collapsed="false">
      <c r="C239" s="12" t="s">
        <v>5</v>
      </c>
      <c r="D239" s="13" t="n">
        <v>2601201</v>
      </c>
      <c r="E239" s="13" t="n">
        <v>2023</v>
      </c>
      <c r="F239" s="12" t="s">
        <v>133</v>
      </c>
      <c r="G239" s="12" t="s">
        <v>152</v>
      </c>
      <c r="H239" s="12" t="s">
        <v>81</v>
      </c>
      <c r="I239" s="12" t="s">
        <v>55</v>
      </c>
      <c r="J239" s="12" t="s">
        <v>134</v>
      </c>
      <c r="K239" s="12" t="s">
        <v>57</v>
      </c>
      <c r="L239" s="14" t="n">
        <v>455057.46</v>
      </c>
      <c r="M239" s="12" t="s">
        <v>83</v>
      </c>
    </row>
    <row r="240" customFormat="false" ht="15" hidden="false" customHeight="false" outlineLevel="0" collapsed="false">
      <c r="C240" s="12" t="s">
        <v>5</v>
      </c>
      <c r="D240" s="13" t="n">
        <v>2601201</v>
      </c>
      <c r="E240" s="13" t="n">
        <v>2023</v>
      </c>
      <c r="F240" s="12" t="s">
        <v>102</v>
      </c>
      <c r="G240" s="12" t="s">
        <v>152</v>
      </c>
      <c r="H240" s="12" t="s">
        <v>81</v>
      </c>
      <c r="I240" s="12" t="s">
        <v>55</v>
      </c>
      <c r="J240" s="12" t="s">
        <v>103</v>
      </c>
      <c r="K240" s="12" t="s">
        <v>57</v>
      </c>
      <c r="L240" s="14" t="n">
        <v>11750532.52</v>
      </c>
      <c r="M240" s="12" t="s">
        <v>83</v>
      </c>
    </row>
    <row r="241" customFormat="false" ht="15" hidden="false" customHeight="false" outlineLevel="0" collapsed="false">
      <c r="C241" s="12" t="s">
        <v>5</v>
      </c>
      <c r="D241" s="13" t="n">
        <v>2601201</v>
      </c>
      <c r="E241" s="13" t="n">
        <v>2023</v>
      </c>
      <c r="F241" s="12" t="s">
        <v>106</v>
      </c>
      <c r="G241" s="12" t="s">
        <v>152</v>
      </c>
      <c r="H241" s="12" t="s">
        <v>81</v>
      </c>
      <c r="I241" s="12" t="s">
        <v>55</v>
      </c>
      <c r="J241" s="12" t="s">
        <v>107</v>
      </c>
      <c r="K241" s="12" t="s">
        <v>57</v>
      </c>
      <c r="L241" s="14" t="n">
        <v>1049916.08</v>
      </c>
      <c r="M241" s="12" t="s">
        <v>83</v>
      </c>
    </row>
    <row r="242" customFormat="false" ht="15" hidden="false" customHeight="false" outlineLevel="0" collapsed="false">
      <c r="C242" s="12" t="s">
        <v>5</v>
      </c>
      <c r="D242" s="13" t="n">
        <v>2601201</v>
      </c>
      <c r="E242" s="13" t="n">
        <v>2023</v>
      </c>
      <c r="F242" s="12" t="s">
        <v>108</v>
      </c>
      <c r="G242" s="12" t="s">
        <v>152</v>
      </c>
      <c r="H242" s="12" t="s">
        <v>81</v>
      </c>
      <c r="I242" s="12" t="s">
        <v>55</v>
      </c>
      <c r="J242" s="12" t="s">
        <v>109</v>
      </c>
      <c r="K242" s="12" t="s">
        <v>57</v>
      </c>
      <c r="L242" s="14" t="n">
        <v>52437.91</v>
      </c>
      <c r="M242" s="12" t="s">
        <v>83</v>
      </c>
    </row>
    <row r="243" customFormat="false" ht="15" hidden="false" customHeight="false" outlineLevel="0" collapsed="false">
      <c r="C243" s="12" t="s">
        <v>5</v>
      </c>
      <c r="D243" s="13" t="n">
        <v>2601201</v>
      </c>
      <c r="E243" s="13" t="n">
        <v>2023</v>
      </c>
      <c r="F243" s="12" t="s">
        <v>110</v>
      </c>
      <c r="G243" s="12" t="s">
        <v>152</v>
      </c>
      <c r="H243" s="12" t="s">
        <v>81</v>
      </c>
      <c r="I243" s="12" t="s">
        <v>55</v>
      </c>
      <c r="J243" s="12" t="s">
        <v>111</v>
      </c>
      <c r="K243" s="12" t="s">
        <v>57</v>
      </c>
      <c r="L243" s="14" t="n">
        <v>2651784.61</v>
      </c>
      <c r="M243" s="12" t="s">
        <v>83</v>
      </c>
    </row>
    <row r="244" customFormat="false" ht="15" hidden="false" customHeight="false" outlineLevel="0" collapsed="false">
      <c r="C244" s="12" t="s">
        <v>5</v>
      </c>
      <c r="D244" s="13" t="n">
        <v>2601201</v>
      </c>
      <c r="E244" s="13" t="n">
        <v>2023</v>
      </c>
      <c r="F244" s="12" t="s">
        <v>112</v>
      </c>
      <c r="G244" s="12" t="s">
        <v>152</v>
      </c>
      <c r="H244" s="12" t="s">
        <v>81</v>
      </c>
      <c r="I244" s="12" t="s">
        <v>55</v>
      </c>
      <c r="J244" s="12" t="s">
        <v>113</v>
      </c>
      <c r="K244" s="12" t="s">
        <v>57</v>
      </c>
      <c r="L244" s="14" t="n">
        <v>31269.29</v>
      </c>
      <c r="M244" s="12" t="s">
        <v>83</v>
      </c>
    </row>
    <row r="245" customFormat="false" ht="15" hidden="false" customHeight="false" outlineLevel="0" collapsed="false">
      <c r="C245" s="12" t="s">
        <v>5</v>
      </c>
      <c r="D245" s="13" t="n">
        <v>2601201</v>
      </c>
      <c r="E245" s="13" t="n">
        <v>2023</v>
      </c>
      <c r="F245" s="12" t="s">
        <v>137</v>
      </c>
      <c r="G245" s="12" t="s">
        <v>152</v>
      </c>
      <c r="H245" s="12" t="s">
        <v>81</v>
      </c>
      <c r="I245" s="12" t="s">
        <v>55</v>
      </c>
      <c r="J245" s="12" t="s">
        <v>138</v>
      </c>
      <c r="K245" s="12" t="s">
        <v>57</v>
      </c>
      <c r="L245" s="14" t="n">
        <v>84807.38</v>
      </c>
      <c r="M245" s="12" t="s">
        <v>83</v>
      </c>
    </row>
    <row r="246" customFormat="false" ht="15" hidden="false" customHeight="false" outlineLevel="0" collapsed="false">
      <c r="C246" s="12" t="s">
        <v>5</v>
      </c>
      <c r="D246" s="13" t="n">
        <v>2601201</v>
      </c>
      <c r="E246" s="13" t="n">
        <v>2023</v>
      </c>
      <c r="F246" s="12" t="s">
        <v>114</v>
      </c>
      <c r="G246" s="12" t="s">
        <v>152</v>
      </c>
      <c r="H246" s="12" t="s">
        <v>81</v>
      </c>
      <c r="I246" s="12" t="s">
        <v>55</v>
      </c>
      <c r="J246" s="12" t="s">
        <v>115</v>
      </c>
      <c r="K246" s="12" t="s">
        <v>57</v>
      </c>
      <c r="L246" s="14" t="n">
        <v>7394286.49</v>
      </c>
      <c r="M246" s="12" t="s">
        <v>83</v>
      </c>
    </row>
    <row r="247" customFormat="false" ht="15" hidden="false" customHeight="false" outlineLevel="0" collapsed="false">
      <c r="C247" s="12" t="s">
        <v>5</v>
      </c>
      <c r="D247" s="13" t="n">
        <v>2601201</v>
      </c>
      <c r="E247" s="13" t="n">
        <v>2024</v>
      </c>
      <c r="F247" s="12" t="s">
        <v>45</v>
      </c>
      <c r="G247" s="12" t="s">
        <v>153</v>
      </c>
      <c r="H247" s="12" t="s">
        <v>47</v>
      </c>
      <c r="I247" s="12" t="s">
        <v>48</v>
      </c>
      <c r="J247" s="12" t="s">
        <v>140</v>
      </c>
      <c r="K247" s="12" t="s">
        <v>50</v>
      </c>
      <c r="L247" s="14" t="n">
        <v>338825647.94</v>
      </c>
      <c r="M247" s="12" t="s">
        <v>79</v>
      </c>
    </row>
    <row r="248" customFormat="false" ht="15" hidden="false" customHeight="false" outlineLevel="0" collapsed="false">
      <c r="C248" s="12" t="s">
        <v>5</v>
      </c>
      <c r="D248" s="13" t="n">
        <v>2601201</v>
      </c>
      <c r="E248" s="13" t="n">
        <v>2024</v>
      </c>
      <c r="F248" s="12" t="s">
        <v>51</v>
      </c>
      <c r="G248" s="12" t="s">
        <v>153</v>
      </c>
      <c r="H248" s="12" t="s">
        <v>47</v>
      </c>
      <c r="I248" s="12" t="s">
        <v>48</v>
      </c>
      <c r="J248" s="12" t="s">
        <v>140</v>
      </c>
      <c r="K248" s="12" t="s">
        <v>52</v>
      </c>
      <c r="L248" s="14" t="n">
        <v>21887725.46</v>
      </c>
      <c r="M248" s="12" t="s">
        <v>79</v>
      </c>
    </row>
    <row r="249" customFormat="false" ht="15" hidden="false" customHeight="false" outlineLevel="0" collapsed="false">
      <c r="C249" s="12" t="s">
        <v>5</v>
      </c>
      <c r="D249" s="13" t="n">
        <v>2601201</v>
      </c>
      <c r="E249" s="13" t="n">
        <v>2024</v>
      </c>
      <c r="F249" s="12" t="s">
        <v>150</v>
      </c>
      <c r="G249" s="12" t="s">
        <v>153</v>
      </c>
      <c r="H249" s="12" t="s">
        <v>47</v>
      </c>
      <c r="I249" s="12" t="s">
        <v>48</v>
      </c>
      <c r="J249" s="12" t="s">
        <v>140</v>
      </c>
      <c r="K249" s="12" t="s">
        <v>151</v>
      </c>
      <c r="L249" s="14" t="n">
        <v>27457.17</v>
      </c>
      <c r="M249" s="12" t="s">
        <v>79</v>
      </c>
    </row>
    <row r="250" customFormat="false" ht="15" hidden="false" customHeight="false" outlineLevel="0" collapsed="false">
      <c r="C250" s="12" t="s">
        <v>5</v>
      </c>
      <c r="D250" s="13" t="n">
        <v>2601201</v>
      </c>
      <c r="E250" s="13" t="n">
        <v>2024</v>
      </c>
      <c r="F250" s="12" t="s">
        <v>53</v>
      </c>
      <c r="G250" s="12" t="s">
        <v>153</v>
      </c>
      <c r="H250" s="12" t="s">
        <v>54</v>
      </c>
      <c r="I250" s="12" t="s">
        <v>55</v>
      </c>
      <c r="J250" s="12" t="s">
        <v>56</v>
      </c>
      <c r="K250" s="12" t="s">
        <v>57</v>
      </c>
      <c r="L250" s="14" t="n">
        <v>317259552.36</v>
      </c>
      <c r="M250" s="12" t="s">
        <v>79</v>
      </c>
    </row>
    <row r="251" customFormat="false" ht="15" hidden="false" customHeight="false" outlineLevel="0" collapsed="false">
      <c r="C251" s="12" t="s">
        <v>5</v>
      </c>
      <c r="D251" s="13" t="n">
        <v>2601201</v>
      </c>
      <c r="E251" s="13" t="n">
        <v>2024</v>
      </c>
      <c r="F251" s="12" t="s">
        <v>58</v>
      </c>
      <c r="G251" s="12" t="s">
        <v>153</v>
      </c>
      <c r="H251" s="12" t="s">
        <v>54</v>
      </c>
      <c r="I251" s="12" t="s">
        <v>55</v>
      </c>
      <c r="J251" s="12" t="s">
        <v>56</v>
      </c>
      <c r="K251" s="12" t="s">
        <v>59</v>
      </c>
      <c r="L251" s="14" t="n">
        <v>317254974.66</v>
      </c>
      <c r="M251" s="12" t="s">
        <v>79</v>
      </c>
    </row>
    <row r="252" customFormat="false" ht="15" hidden="false" customHeight="false" outlineLevel="0" collapsed="false">
      <c r="C252" s="12" t="s">
        <v>5</v>
      </c>
      <c r="D252" s="13" t="n">
        <v>2601201</v>
      </c>
      <c r="E252" s="13" t="n">
        <v>2024</v>
      </c>
      <c r="F252" s="12" t="s">
        <v>60</v>
      </c>
      <c r="G252" s="12" t="s">
        <v>153</v>
      </c>
      <c r="H252" s="12" t="s">
        <v>54</v>
      </c>
      <c r="I252" s="12" t="s">
        <v>55</v>
      </c>
      <c r="J252" s="12" t="s">
        <v>56</v>
      </c>
      <c r="K252" s="12" t="s">
        <v>61</v>
      </c>
      <c r="L252" s="14" t="n">
        <v>305808332.8</v>
      </c>
      <c r="M252" s="12" t="s">
        <v>79</v>
      </c>
    </row>
    <row r="253" customFormat="false" ht="15" hidden="false" customHeight="false" outlineLevel="0" collapsed="false">
      <c r="C253" s="12" t="s">
        <v>5</v>
      </c>
      <c r="D253" s="13" t="n">
        <v>2601201</v>
      </c>
      <c r="E253" s="13" t="n">
        <v>2024</v>
      </c>
      <c r="F253" s="12" t="s">
        <v>80</v>
      </c>
      <c r="G253" s="12" t="s">
        <v>153</v>
      </c>
      <c r="H253" s="12" t="s">
        <v>81</v>
      </c>
      <c r="I253" s="12" t="s">
        <v>55</v>
      </c>
      <c r="J253" s="12" t="s">
        <v>82</v>
      </c>
      <c r="K253" s="12" t="s">
        <v>57</v>
      </c>
      <c r="L253" s="14" t="n">
        <v>306654812.31</v>
      </c>
      <c r="M253" s="12" t="s">
        <v>83</v>
      </c>
    </row>
    <row r="254" customFormat="false" ht="15" hidden="false" customHeight="false" outlineLevel="0" collapsed="false">
      <c r="C254" s="12" t="s">
        <v>5</v>
      </c>
      <c r="D254" s="13" t="n">
        <v>2601201</v>
      </c>
      <c r="E254" s="13" t="n">
        <v>2024</v>
      </c>
      <c r="F254" s="12" t="s">
        <v>84</v>
      </c>
      <c r="G254" s="12" t="s">
        <v>153</v>
      </c>
      <c r="H254" s="12" t="s">
        <v>81</v>
      </c>
      <c r="I254" s="12" t="s">
        <v>55</v>
      </c>
      <c r="J254" s="12" t="s">
        <v>82</v>
      </c>
      <c r="K254" s="12" t="s">
        <v>59</v>
      </c>
      <c r="L254" s="14" t="n">
        <v>306650234.61</v>
      </c>
      <c r="M254" s="12" t="s">
        <v>83</v>
      </c>
    </row>
    <row r="255" customFormat="false" ht="15" hidden="false" customHeight="false" outlineLevel="0" collapsed="false">
      <c r="C255" s="12" t="s">
        <v>5</v>
      </c>
      <c r="D255" s="13" t="n">
        <v>2601201</v>
      </c>
      <c r="E255" s="13" t="n">
        <v>2024</v>
      </c>
      <c r="F255" s="12" t="s">
        <v>85</v>
      </c>
      <c r="G255" s="12" t="s">
        <v>153</v>
      </c>
      <c r="H255" s="12" t="s">
        <v>81</v>
      </c>
      <c r="I255" s="12" t="s">
        <v>55</v>
      </c>
      <c r="J255" s="12" t="s">
        <v>82</v>
      </c>
      <c r="K255" s="12" t="s">
        <v>61</v>
      </c>
      <c r="L255" s="14" t="n">
        <v>295644148.27</v>
      </c>
      <c r="M255" s="12" t="s">
        <v>83</v>
      </c>
    </row>
    <row r="256" customFormat="false" ht="15" hidden="false" customHeight="false" outlineLevel="0" collapsed="false">
      <c r="C256" s="12" t="s">
        <v>5</v>
      </c>
      <c r="D256" s="13" t="n">
        <v>2601201</v>
      </c>
      <c r="E256" s="13" t="n">
        <v>2024</v>
      </c>
      <c r="F256" s="12" t="s">
        <v>141</v>
      </c>
      <c r="G256" s="12" t="s">
        <v>153</v>
      </c>
      <c r="H256" s="12" t="s">
        <v>47</v>
      </c>
      <c r="I256" s="12" t="s">
        <v>142</v>
      </c>
      <c r="J256" s="12" t="s">
        <v>143</v>
      </c>
      <c r="K256" s="12" t="s">
        <v>50</v>
      </c>
      <c r="L256" s="14" t="n">
        <v>11341576.94</v>
      </c>
      <c r="M256" s="12" t="s">
        <v>79</v>
      </c>
    </row>
    <row r="257" customFormat="false" ht="15" hidden="false" customHeight="false" outlineLevel="0" collapsed="false">
      <c r="C257" s="12" t="s">
        <v>5</v>
      </c>
      <c r="D257" s="13" t="n">
        <v>2601201</v>
      </c>
      <c r="E257" s="13" t="n">
        <v>2024</v>
      </c>
      <c r="F257" s="12" t="s">
        <v>144</v>
      </c>
      <c r="G257" s="12" t="s">
        <v>153</v>
      </c>
      <c r="H257" s="12" t="s">
        <v>47</v>
      </c>
      <c r="I257" s="12" t="s">
        <v>145</v>
      </c>
      <c r="J257" s="12" t="s">
        <v>146</v>
      </c>
      <c r="K257" s="12" t="s">
        <v>50</v>
      </c>
      <c r="L257" s="14" t="n">
        <v>327484071</v>
      </c>
      <c r="M257" s="12" t="s">
        <v>79</v>
      </c>
    </row>
    <row r="258" customFormat="false" ht="15" hidden="false" customHeight="false" outlineLevel="0" collapsed="false">
      <c r="C258" s="12" t="s">
        <v>5</v>
      </c>
      <c r="D258" s="13" t="n">
        <v>2601201</v>
      </c>
      <c r="E258" s="13" t="n">
        <v>2024</v>
      </c>
      <c r="F258" s="12" t="s">
        <v>62</v>
      </c>
      <c r="G258" s="12" t="s">
        <v>153</v>
      </c>
      <c r="H258" s="12" t="s">
        <v>47</v>
      </c>
      <c r="I258" s="12" t="s">
        <v>117</v>
      </c>
      <c r="J258" s="12" t="s">
        <v>118</v>
      </c>
      <c r="K258" s="12" t="s">
        <v>50</v>
      </c>
      <c r="L258" s="14" t="n">
        <v>34865348.74</v>
      </c>
      <c r="M258" s="12" t="s">
        <v>79</v>
      </c>
    </row>
    <row r="259" customFormat="false" ht="15" hidden="false" customHeight="false" outlineLevel="0" collapsed="false">
      <c r="C259" s="12" t="s">
        <v>5</v>
      </c>
      <c r="D259" s="13" t="n">
        <v>2601201</v>
      </c>
      <c r="E259" s="13" t="n">
        <v>2024</v>
      </c>
      <c r="F259" s="12" t="s">
        <v>65</v>
      </c>
      <c r="G259" s="12" t="s">
        <v>153</v>
      </c>
      <c r="H259" s="12" t="s">
        <v>47</v>
      </c>
      <c r="I259" s="12" t="s">
        <v>119</v>
      </c>
      <c r="J259" s="12" t="s">
        <v>120</v>
      </c>
      <c r="K259" s="12" t="s">
        <v>50</v>
      </c>
      <c r="L259" s="14" t="n">
        <v>254135907.7</v>
      </c>
      <c r="M259" s="12" t="s">
        <v>79</v>
      </c>
    </row>
    <row r="260" customFormat="false" ht="15" hidden="false" customHeight="false" outlineLevel="0" collapsed="false">
      <c r="C260" s="12" t="s">
        <v>5</v>
      </c>
      <c r="D260" s="13" t="n">
        <v>2601201</v>
      </c>
      <c r="E260" s="13" t="n">
        <v>2024</v>
      </c>
      <c r="F260" s="12" t="s">
        <v>68</v>
      </c>
      <c r="G260" s="12" t="s">
        <v>153</v>
      </c>
      <c r="H260" s="12" t="s">
        <v>47</v>
      </c>
      <c r="I260" s="12" t="s">
        <v>121</v>
      </c>
      <c r="J260" s="12" t="s">
        <v>122</v>
      </c>
      <c r="K260" s="12" t="s">
        <v>50</v>
      </c>
      <c r="L260" s="14" t="n">
        <v>5522921.28</v>
      </c>
      <c r="M260" s="12" t="s">
        <v>79</v>
      </c>
    </row>
    <row r="261" customFormat="false" ht="15" hidden="false" customHeight="false" outlineLevel="0" collapsed="false">
      <c r="C261" s="12" t="s">
        <v>5</v>
      </c>
      <c r="D261" s="13" t="n">
        <v>2601201</v>
      </c>
      <c r="E261" s="13" t="n">
        <v>2024</v>
      </c>
      <c r="F261" s="12" t="s">
        <v>71</v>
      </c>
      <c r="G261" s="12" t="s">
        <v>153</v>
      </c>
      <c r="H261" s="12" t="s">
        <v>47</v>
      </c>
      <c r="I261" s="12" t="s">
        <v>123</v>
      </c>
      <c r="J261" s="12" t="s">
        <v>124</v>
      </c>
      <c r="K261" s="12" t="s">
        <v>50</v>
      </c>
      <c r="L261" s="14" t="n">
        <v>163507404.99</v>
      </c>
      <c r="M261" s="12" t="s">
        <v>79</v>
      </c>
    </row>
    <row r="262" customFormat="false" ht="15" hidden="false" customHeight="false" outlineLevel="0" collapsed="false">
      <c r="C262" s="12" t="s">
        <v>5</v>
      </c>
      <c r="D262" s="13" t="n">
        <v>2601201</v>
      </c>
      <c r="E262" s="13" t="n">
        <v>2024</v>
      </c>
      <c r="F262" s="12" t="s">
        <v>71</v>
      </c>
      <c r="G262" s="12" t="s">
        <v>153</v>
      </c>
      <c r="H262" s="12" t="s">
        <v>47</v>
      </c>
      <c r="I262" s="12" t="s">
        <v>125</v>
      </c>
      <c r="J262" s="12" t="s">
        <v>126</v>
      </c>
      <c r="K262" s="12" t="s">
        <v>50</v>
      </c>
      <c r="L262" s="14" t="n">
        <v>42489357.4</v>
      </c>
      <c r="M262" s="12" t="s">
        <v>79</v>
      </c>
    </row>
    <row r="263" customFormat="false" ht="15" hidden="false" customHeight="false" outlineLevel="0" collapsed="false">
      <c r="C263" s="12" t="s">
        <v>5</v>
      </c>
      <c r="D263" s="13" t="n">
        <v>2601201</v>
      </c>
      <c r="E263" s="13" t="n">
        <v>2024</v>
      </c>
      <c r="F263" s="12" t="s">
        <v>74</v>
      </c>
      <c r="G263" s="12" t="s">
        <v>153</v>
      </c>
      <c r="H263" s="12" t="s">
        <v>47</v>
      </c>
      <c r="I263" s="12" t="s">
        <v>127</v>
      </c>
      <c r="J263" s="12" t="s">
        <v>128</v>
      </c>
      <c r="K263" s="12" t="s">
        <v>50</v>
      </c>
      <c r="L263" s="14" t="n">
        <v>3129086.46</v>
      </c>
      <c r="M263" s="12" t="s">
        <v>79</v>
      </c>
    </row>
    <row r="264" customFormat="false" ht="15" hidden="false" customHeight="false" outlineLevel="0" collapsed="false">
      <c r="C264" s="12" t="s">
        <v>5</v>
      </c>
      <c r="D264" s="13" t="n">
        <v>2601201</v>
      </c>
      <c r="E264" s="13" t="n">
        <v>2024</v>
      </c>
      <c r="F264" s="12" t="s">
        <v>74</v>
      </c>
      <c r="G264" s="12" t="s">
        <v>153</v>
      </c>
      <c r="H264" s="12" t="s">
        <v>47</v>
      </c>
      <c r="I264" s="12" t="s">
        <v>129</v>
      </c>
      <c r="J264" s="12" t="s">
        <v>130</v>
      </c>
      <c r="K264" s="12" t="s">
        <v>50</v>
      </c>
      <c r="L264" s="14" t="n">
        <v>2393834.82</v>
      </c>
      <c r="M264" s="12" t="s">
        <v>79</v>
      </c>
    </row>
    <row r="265" customFormat="false" ht="15" hidden="false" customHeight="false" outlineLevel="0" collapsed="false">
      <c r="C265" s="12" t="s">
        <v>5</v>
      </c>
      <c r="D265" s="13" t="n">
        <v>2601201</v>
      </c>
      <c r="E265" s="13" t="n">
        <v>2024</v>
      </c>
      <c r="F265" s="12" t="s">
        <v>86</v>
      </c>
      <c r="G265" s="12" t="s">
        <v>153</v>
      </c>
      <c r="H265" s="12" t="s">
        <v>81</v>
      </c>
      <c r="I265" s="12" t="s">
        <v>55</v>
      </c>
      <c r="J265" s="12" t="s">
        <v>87</v>
      </c>
      <c r="K265" s="12" t="s">
        <v>57</v>
      </c>
      <c r="L265" s="14" t="n">
        <v>9287257.23</v>
      </c>
      <c r="M265" s="12" t="s">
        <v>83</v>
      </c>
    </row>
    <row r="266" customFormat="false" ht="15" hidden="false" customHeight="false" outlineLevel="0" collapsed="false">
      <c r="C266" s="12" t="s">
        <v>5</v>
      </c>
      <c r="D266" s="13" t="n">
        <v>2601201</v>
      </c>
      <c r="E266" s="13" t="n">
        <v>2024</v>
      </c>
      <c r="F266" s="12" t="s">
        <v>88</v>
      </c>
      <c r="G266" s="12" t="s">
        <v>153</v>
      </c>
      <c r="H266" s="12" t="s">
        <v>81</v>
      </c>
      <c r="I266" s="12" t="s">
        <v>55</v>
      </c>
      <c r="J266" s="12" t="s">
        <v>89</v>
      </c>
      <c r="K266" s="12" t="s">
        <v>57</v>
      </c>
      <c r="L266" s="14" t="n">
        <v>61209201.6</v>
      </c>
      <c r="M266" s="12" t="s">
        <v>83</v>
      </c>
    </row>
    <row r="267" customFormat="false" ht="15" hidden="false" customHeight="false" outlineLevel="0" collapsed="false">
      <c r="C267" s="12" t="s">
        <v>5</v>
      </c>
      <c r="D267" s="13" t="n">
        <v>2601201</v>
      </c>
      <c r="E267" s="13" t="n">
        <v>2024</v>
      </c>
      <c r="F267" s="12" t="s">
        <v>90</v>
      </c>
      <c r="G267" s="12" t="s">
        <v>153</v>
      </c>
      <c r="H267" s="12" t="s">
        <v>81</v>
      </c>
      <c r="I267" s="12" t="s">
        <v>55</v>
      </c>
      <c r="J267" s="12" t="s">
        <v>91</v>
      </c>
      <c r="K267" s="12" t="s">
        <v>57</v>
      </c>
      <c r="L267" s="14" t="n">
        <v>13807694.15</v>
      </c>
      <c r="M267" s="12" t="s">
        <v>83</v>
      </c>
    </row>
    <row r="268" customFormat="false" ht="15" hidden="false" customHeight="false" outlineLevel="0" collapsed="false">
      <c r="C268" s="12" t="s">
        <v>5</v>
      </c>
      <c r="D268" s="13" t="n">
        <v>2601201</v>
      </c>
      <c r="E268" s="13" t="n">
        <v>2024</v>
      </c>
      <c r="F268" s="12" t="s">
        <v>92</v>
      </c>
      <c r="G268" s="12" t="s">
        <v>153</v>
      </c>
      <c r="H268" s="12" t="s">
        <v>81</v>
      </c>
      <c r="I268" s="12" t="s">
        <v>55</v>
      </c>
      <c r="J268" s="12" t="s">
        <v>93</v>
      </c>
      <c r="K268" s="12" t="s">
        <v>57</v>
      </c>
      <c r="L268" s="14" t="n">
        <v>33090916.93</v>
      </c>
      <c r="M268" s="12" t="s">
        <v>83</v>
      </c>
    </row>
    <row r="269" customFormat="false" ht="15" hidden="false" customHeight="false" outlineLevel="0" collapsed="false">
      <c r="C269" s="12" t="s">
        <v>5</v>
      </c>
      <c r="D269" s="13" t="n">
        <v>2601201</v>
      </c>
      <c r="E269" s="13" t="n">
        <v>2024</v>
      </c>
      <c r="F269" s="12" t="s">
        <v>94</v>
      </c>
      <c r="G269" s="12" t="s">
        <v>153</v>
      </c>
      <c r="H269" s="12" t="s">
        <v>81</v>
      </c>
      <c r="I269" s="12" t="s">
        <v>55</v>
      </c>
      <c r="J269" s="12" t="s">
        <v>95</v>
      </c>
      <c r="K269" s="12" t="s">
        <v>57</v>
      </c>
      <c r="L269" s="14" t="n">
        <v>66669381.86</v>
      </c>
      <c r="M269" s="12" t="s">
        <v>83</v>
      </c>
    </row>
    <row r="270" customFormat="false" ht="15" hidden="false" customHeight="false" outlineLevel="0" collapsed="false">
      <c r="C270" s="12" t="s">
        <v>5</v>
      </c>
      <c r="D270" s="13" t="n">
        <v>2601201</v>
      </c>
      <c r="E270" s="13" t="n">
        <v>2024</v>
      </c>
      <c r="F270" s="12" t="s">
        <v>96</v>
      </c>
      <c r="G270" s="12" t="s">
        <v>153</v>
      </c>
      <c r="H270" s="12" t="s">
        <v>81</v>
      </c>
      <c r="I270" s="12" t="s">
        <v>55</v>
      </c>
      <c r="J270" s="12" t="s">
        <v>97</v>
      </c>
      <c r="K270" s="12" t="s">
        <v>57</v>
      </c>
      <c r="L270" s="14" t="n">
        <v>16514.45</v>
      </c>
      <c r="M270" s="12" t="s">
        <v>83</v>
      </c>
    </row>
    <row r="271" customFormat="false" ht="15" hidden="false" customHeight="false" outlineLevel="0" collapsed="false">
      <c r="C271" s="12" t="s">
        <v>5</v>
      </c>
      <c r="D271" s="13" t="n">
        <v>2601201</v>
      </c>
      <c r="E271" s="13" t="n">
        <v>2024</v>
      </c>
      <c r="F271" s="12" t="s">
        <v>98</v>
      </c>
      <c r="G271" s="12" t="s">
        <v>153</v>
      </c>
      <c r="H271" s="12" t="s">
        <v>81</v>
      </c>
      <c r="I271" s="12" t="s">
        <v>55</v>
      </c>
      <c r="J271" s="12" t="s">
        <v>99</v>
      </c>
      <c r="K271" s="12" t="s">
        <v>57</v>
      </c>
      <c r="L271" s="14" t="n">
        <v>93733951.66</v>
      </c>
      <c r="M271" s="12" t="s">
        <v>83</v>
      </c>
    </row>
    <row r="272" customFormat="false" ht="15" hidden="false" customHeight="false" outlineLevel="0" collapsed="false">
      <c r="C272" s="12" t="s">
        <v>5</v>
      </c>
      <c r="D272" s="13" t="n">
        <v>2601201</v>
      </c>
      <c r="E272" s="13" t="n">
        <v>2024</v>
      </c>
      <c r="F272" s="12" t="s">
        <v>100</v>
      </c>
      <c r="G272" s="12" t="s">
        <v>153</v>
      </c>
      <c r="H272" s="12" t="s">
        <v>81</v>
      </c>
      <c r="I272" s="12" t="s">
        <v>55</v>
      </c>
      <c r="J272" s="12" t="s">
        <v>101</v>
      </c>
      <c r="K272" s="12" t="s">
        <v>57</v>
      </c>
      <c r="L272" s="14" t="n">
        <v>1315454.01</v>
      </c>
      <c r="M272" s="12" t="s">
        <v>83</v>
      </c>
    </row>
    <row r="273" customFormat="false" ht="15" hidden="false" customHeight="false" outlineLevel="0" collapsed="false">
      <c r="C273" s="12" t="s">
        <v>5</v>
      </c>
      <c r="D273" s="13" t="n">
        <v>2601201</v>
      </c>
      <c r="E273" s="13" t="n">
        <v>2024</v>
      </c>
      <c r="F273" s="12" t="s">
        <v>133</v>
      </c>
      <c r="G273" s="12" t="s">
        <v>153</v>
      </c>
      <c r="H273" s="12" t="s">
        <v>81</v>
      </c>
      <c r="I273" s="12" t="s">
        <v>55</v>
      </c>
      <c r="J273" s="12" t="s">
        <v>134</v>
      </c>
      <c r="K273" s="12" t="s">
        <v>57</v>
      </c>
      <c r="L273" s="14" t="n">
        <v>467043.19</v>
      </c>
      <c r="M273" s="12" t="s">
        <v>83</v>
      </c>
    </row>
    <row r="274" customFormat="false" ht="15" hidden="false" customHeight="false" outlineLevel="0" collapsed="false">
      <c r="C274" s="12" t="s">
        <v>5</v>
      </c>
      <c r="D274" s="13" t="n">
        <v>2601201</v>
      </c>
      <c r="E274" s="13" t="n">
        <v>2024</v>
      </c>
      <c r="F274" s="12" t="s">
        <v>102</v>
      </c>
      <c r="G274" s="12" t="s">
        <v>153</v>
      </c>
      <c r="H274" s="12" t="s">
        <v>81</v>
      </c>
      <c r="I274" s="12" t="s">
        <v>55</v>
      </c>
      <c r="J274" s="12" t="s">
        <v>103</v>
      </c>
      <c r="K274" s="12" t="s">
        <v>57</v>
      </c>
      <c r="L274" s="14" t="n">
        <v>13291401.19</v>
      </c>
      <c r="M274" s="12" t="s">
        <v>83</v>
      </c>
    </row>
    <row r="275" customFormat="false" ht="15" hidden="false" customHeight="false" outlineLevel="0" collapsed="false">
      <c r="C275" s="12" t="s">
        <v>5</v>
      </c>
      <c r="D275" s="13" t="n">
        <v>2601201</v>
      </c>
      <c r="E275" s="13" t="n">
        <v>2024</v>
      </c>
      <c r="F275" s="12" t="s">
        <v>106</v>
      </c>
      <c r="G275" s="12" t="s">
        <v>153</v>
      </c>
      <c r="H275" s="12" t="s">
        <v>81</v>
      </c>
      <c r="I275" s="12" t="s">
        <v>55</v>
      </c>
      <c r="J275" s="12" t="s">
        <v>107</v>
      </c>
      <c r="K275" s="12" t="s">
        <v>57</v>
      </c>
      <c r="L275" s="14" t="n">
        <v>1447469.14</v>
      </c>
      <c r="M275" s="12" t="s">
        <v>83</v>
      </c>
    </row>
    <row r="276" customFormat="false" ht="15" hidden="false" customHeight="false" outlineLevel="0" collapsed="false">
      <c r="C276" s="12" t="s">
        <v>5</v>
      </c>
      <c r="D276" s="13" t="n">
        <v>2601201</v>
      </c>
      <c r="E276" s="13" t="n">
        <v>2024</v>
      </c>
      <c r="F276" s="12" t="s">
        <v>108</v>
      </c>
      <c r="G276" s="12" t="s">
        <v>153</v>
      </c>
      <c r="H276" s="12" t="s">
        <v>81</v>
      </c>
      <c r="I276" s="12" t="s">
        <v>55</v>
      </c>
      <c r="J276" s="12" t="s">
        <v>109</v>
      </c>
      <c r="K276" s="12" t="s">
        <v>57</v>
      </c>
      <c r="L276" s="14" t="n">
        <v>9488.99</v>
      </c>
      <c r="M276" s="12" t="s">
        <v>83</v>
      </c>
    </row>
    <row r="277" customFormat="false" ht="15" hidden="false" customHeight="false" outlineLevel="0" collapsed="false">
      <c r="C277" s="12" t="s">
        <v>5</v>
      </c>
      <c r="D277" s="13" t="n">
        <v>2601201</v>
      </c>
      <c r="E277" s="13" t="n">
        <v>2024</v>
      </c>
      <c r="F277" s="12" t="s">
        <v>110</v>
      </c>
      <c r="G277" s="12" t="s">
        <v>153</v>
      </c>
      <c r="H277" s="12" t="s">
        <v>81</v>
      </c>
      <c r="I277" s="12" t="s">
        <v>55</v>
      </c>
      <c r="J277" s="12" t="s">
        <v>111</v>
      </c>
      <c r="K277" s="12" t="s">
        <v>57</v>
      </c>
      <c r="L277" s="14" t="n">
        <v>4389123.19</v>
      </c>
      <c r="M277" s="12" t="s">
        <v>83</v>
      </c>
    </row>
    <row r="278" customFormat="false" ht="15" hidden="false" customHeight="false" outlineLevel="0" collapsed="false">
      <c r="C278" s="12" t="s">
        <v>5</v>
      </c>
      <c r="D278" s="13" t="n">
        <v>2601201</v>
      </c>
      <c r="E278" s="13" t="n">
        <v>2024</v>
      </c>
      <c r="F278" s="12" t="s">
        <v>137</v>
      </c>
      <c r="G278" s="12" t="s">
        <v>153</v>
      </c>
      <c r="H278" s="12" t="s">
        <v>81</v>
      </c>
      <c r="I278" s="12" t="s">
        <v>55</v>
      </c>
      <c r="J278" s="12" t="s">
        <v>138</v>
      </c>
      <c r="K278" s="12" t="s">
        <v>57</v>
      </c>
      <c r="L278" s="14" t="n">
        <v>108032.83</v>
      </c>
      <c r="M278" s="12" t="s">
        <v>83</v>
      </c>
    </row>
    <row r="279" customFormat="false" ht="15" hidden="false" customHeight="false" outlineLevel="0" collapsed="false">
      <c r="C279" s="12" t="s">
        <v>5</v>
      </c>
      <c r="D279" s="13" t="n">
        <v>2601201</v>
      </c>
      <c r="E279" s="13" t="n">
        <v>2024</v>
      </c>
      <c r="F279" s="12" t="s">
        <v>114</v>
      </c>
      <c r="G279" s="12" t="s">
        <v>153</v>
      </c>
      <c r="H279" s="12" t="s">
        <v>81</v>
      </c>
      <c r="I279" s="12" t="s">
        <v>55</v>
      </c>
      <c r="J279" s="12" t="s">
        <v>115</v>
      </c>
      <c r="K279" s="12" t="s">
        <v>57</v>
      </c>
      <c r="L279" s="14" t="n">
        <v>7811881.89</v>
      </c>
      <c r="M279" s="12" t="s">
        <v>83</v>
      </c>
    </row>
    <row r="280" customFormat="false" ht="15" hidden="false" customHeight="false" outlineLevel="0" collapsed="false">
      <c r="C280" s="12" t="s">
        <v>6</v>
      </c>
      <c r="D280" s="13" t="n">
        <v>2601102</v>
      </c>
      <c r="E280" s="13" t="n">
        <v>2015</v>
      </c>
      <c r="F280" s="12" t="s">
        <v>45</v>
      </c>
      <c r="G280" s="12" t="s">
        <v>154</v>
      </c>
      <c r="H280" s="12" t="s">
        <v>47</v>
      </c>
      <c r="I280" s="12" t="s">
        <v>48</v>
      </c>
      <c r="J280" s="12" t="s">
        <v>49</v>
      </c>
      <c r="K280" s="12" t="s">
        <v>50</v>
      </c>
      <c r="L280" s="14" t="n">
        <v>149488959</v>
      </c>
      <c r="M280" s="12"/>
    </row>
    <row r="281" customFormat="false" ht="15" hidden="false" customHeight="false" outlineLevel="0" collapsed="false">
      <c r="C281" s="12" t="s">
        <v>6</v>
      </c>
      <c r="D281" s="13" t="n">
        <v>2601102</v>
      </c>
      <c r="E281" s="13" t="n">
        <v>2015</v>
      </c>
      <c r="F281" s="12" t="s">
        <v>51</v>
      </c>
      <c r="G281" s="12" t="s">
        <v>154</v>
      </c>
      <c r="H281" s="12" t="s">
        <v>47</v>
      </c>
      <c r="I281" s="12" t="s">
        <v>48</v>
      </c>
      <c r="J281" s="12" t="s">
        <v>49</v>
      </c>
      <c r="K281" s="12" t="s">
        <v>52</v>
      </c>
      <c r="L281" s="14" t="n">
        <v>-10093009.53</v>
      </c>
      <c r="M281" s="12"/>
    </row>
    <row r="282" customFormat="false" ht="15" hidden="false" customHeight="false" outlineLevel="0" collapsed="false">
      <c r="C282" s="12" t="s">
        <v>6</v>
      </c>
      <c r="D282" s="13" t="n">
        <v>2601102</v>
      </c>
      <c r="E282" s="13" t="n">
        <v>2015</v>
      </c>
      <c r="F282" s="12" t="s">
        <v>53</v>
      </c>
      <c r="G282" s="12" t="s">
        <v>154</v>
      </c>
      <c r="H282" s="12" t="s">
        <v>54</v>
      </c>
      <c r="I282" s="12" t="s">
        <v>55</v>
      </c>
      <c r="J282" s="12" t="s">
        <v>56</v>
      </c>
      <c r="K282" s="12" t="s">
        <v>57</v>
      </c>
      <c r="L282" s="14" t="n">
        <v>140850288.38</v>
      </c>
      <c r="M282" s="12"/>
    </row>
    <row r="283" customFormat="false" ht="15" hidden="false" customHeight="false" outlineLevel="0" collapsed="false">
      <c r="C283" s="12" t="s">
        <v>6</v>
      </c>
      <c r="D283" s="13" t="n">
        <v>2601102</v>
      </c>
      <c r="E283" s="13" t="n">
        <v>2015</v>
      </c>
      <c r="F283" s="12" t="s">
        <v>58</v>
      </c>
      <c r="G283" s="12" t="s">
        <v>154</v>
      </c>
      <c r="H283" s="12" t="s">
        <v>54</v>
      </c>
      <c r="I283" s="12" t="s">
        <v>55</v>
      </c>
      <c r="J283" s="12" t="s">
        <v>56</v>
      </c>
      <c r="K283" s="12" t="s">
        <v>59</v>
      </c>
      <c r="L283" s="14" t="n">
        <v>140661525.17</v>
      </c>
      <c r="M283" s="12"/>
    </row>
    <row r="284" customFormat="false" ht="15" hidden="false" customHeight="false" outlineLevel="0" collapsed="false">
      <c r="C284" s="12" t="s">
        <v>6</v>
      </c>
      <c r="D284" s="13" t="n">
        <v>2601102</v>
      </c>
      <c r="E284" s="13" t="n">
        <v>2015</v>
      </c>
      <c r="F284" s="12" t="s">
        <v>60</v>
      </c>
      <c r="G284" s="12" t="s">
        <v>154</v>
      </c>
      <c r="H284" s="12" t="s">
        <v>54</v>
      </c>
      <c r="I284" s="12" t="s">
        <v>55</v>
      </c>
      <c r="J284" s="12" t="s">
        <v>56</v>
      </c>
      <c r="K284" s="12" t="s">
        <v>61</v>
      </c>
      <c r="L284" s="14" t="n">
        <v>135582786.63</v>
      </c>
      <c r="M284" s="12"/>
    </row>
    <row r="285" customFormat="false" ht="15" hidden="false" customHeight="false" outlineLevel="0" collapsed="false">
      <c r="C285" s="12" t="s">
        <v>6</v>
      </c>
      <c r="D285" s="13" t="n">
        <v>2601102</v>
      </c>
      <c r="E285" s="13" t="n">
        <v>2015</v>
      </c>
      <c r="F285" s="12" t="s">
        <v>62</v>
      </c>
      <c r="G285" s="12" t="s">
        <v>154</v>
      </c>
      <c r="H285" s="12" t="s">
        <v>47</v>
      </c>
      <c r="I285" s="12" t="s">
        <v>63</v>
      </c>
      <c r="J285" s="12" t="s">
        <v>64</v>
      </c>
      <c r="K285" s="12" t="s">
        <v>50</v>
      </c>
      <c r="L285" s="14" t="n">
        <v>6953850.47</v>
      </c>
      <c r="M285" s="12"/>
    </row>
    <row r="286" customFormat="false" ht="15" hidden="false" customHeight="false" outlineLevel="0" collapsed="false">
      <c r="C286" s="12" t="s">
        <v>6</v>
      </c>
      <c r="D286" s="13" t="n">
        <v>2601102</v>
      </c>
      <c r="E286" s="13" t="n">
        <v>2015</v>
      </c>
      <c r="F286" s="12" t="s">
        <v>65</v>
      </c>
      <c r="G286" s="12" t="s">
        <v>154</v>
      </c>
      <c r="H286" s="12" t="s">
        <v>47</v>
      </c>
      <c r="I286" s="12" t="s">
        <v>66</v>
      </c>
      <c r="J286" s="12" t="s">
        <v>67</v>
      </c>
      <c r="K286" s="12" t="s">
        <v>50</v>
      </c>
      <c r="L286" s="14" t="n">
        <v>119279955.24</v>
      </c>
      <c r="M286" s="12"/>
    </row>
    <row r="287" customFormat="false" ht="15" hidden="false" customHeight="false" outlineLevel="0" collapsed="false">
      <c r="C287" s="12" t="s">
        <v>6</v>
      </c>
      <c r="D287" s="13" t="n">
        <v>2601102</v>
      </c>
      <c r="E287" s="13" t="n">
        <v>2015</v>
      </c>
      <c r="F287" s="12" t="s">
        <v>68</v>
      </c>
      <c r="G287" s="12" t="s">
        <v>154</v>
      </c>
      <c r="H287" s="12" t="s">
        <v>47</v>
      </c>
      <c r="I287" s="12" t="s">
        <v>69</v>
      </c>
      <c r="J287" s="12" t="s">
        <v>70</v>
      </c>
      <c r="K287" s="12" t="s">
        <v>50</v>
      </c>
      <c r="L287" s="14" t="n">
        <v>5963677.48</v>
      </c>
      <c r="M287" s="12"/>
    </row>
    <row r="288" customFormat="false" ht="15" hidden="false" customHeight="false" outlineLevel="0" collapsed="false">
      <c r="C288" s="12" t="s">
        <v>6</v>
      </c>
      <c r="D288" s="13" t="n">
        <v>2601102</v>
      </c>
      <c r="E288" s="13" t="n">
        <v>2015</v>
      </c>
      <c r="F288" s="12" t="s">
        <v>71</v>
      </c>
      <c r="G288" s="12" t="s">
        <v>154</v>
      </c>
      <c r="H288" s="12" t="s">
        <v>47</v>
      </c>
      <c r="I288" s="12" t="s">
        <v>72</v>
      </c>
      <c r="J288" s="12" t="s">
        <v>73</v>
      </c>
      <c r="K288" s="12" t="s">
        <v>50</v>
      </c>
      <c r="L288" s="14" t="n">
        <v>119208184.49</v>
      </c>
      <c r="M288" s="12"/>
    </row>
    <row r="289" customFormat="false" ht="15" hidden="false" customHeight="false" outlineLevel="0" collapsed="false">
      <c r="C289" s="12" t="s">
        <v>6</v>
      </c>
      <c r="D289" s="13" t="n">
        <v>2601102</v>
      </c>
      <c r="E289" s="13" t="n">
        <v>2015</v>
      </c>
      <c r="F289" s="12" t="s">
        <v>74</v>
      </c>
      <c r="G289" s="12" t="s">
        <v>154</v>
      </c>
      <c r="H289" s="12" t="s">
        <v>47</v>
      </c>
      <c r="I289" s="12" t="s">
        <v>75</v>
      </c>
      <c r="J289" s="12" t="s">
        <v>76</v>
      </c>
      <c r="K289" s="12" t="s">
        <v>50</v>
      </c>
      <c r="L289" s="14" t="n">
        <v>764655.87</v>
      </c>
      <c r="M289" s="12"/>
    </row>
    <row r="290" customFormat="false" ht="15" hidden="false" customHeight="false" outlineLevel="0" collapsed="false">
      <c r="C290" s="12" t="s">
        <v>6</v>
      </c>
      <c r="D290" s="13" t="n">
        <v>2601102</v>
      </c>
      <c r="E290" s="13" t="n">
        <v>2016</v>
      </c>
      <c r="F290" s="12" t="s">
        <v>45</v>
      </c>
      <c r="G290" s="12" t="s">
        <v>155</v>
      </c>
      <c r="H290" s="12" t="s">
        <v>47</v>
      </c>
      <c r="I290" s="12" t="s">
        <v>48</v>
      </c>
      <c r="J290" s="12" t="s">
        <v>49</v>
      </c>
      <c r="K290" s="12" t="s">
        <v>50</v>
      </c>
      <c r="L290" s="14" t="n">
        <v>153010571.68</v>
      </c>
      <c r="M290" s="12"/>
    </row>
    <row r="291" customFormat="false" ht="15" hidden="false" customHeight="false" outlineLevel="0" collapsed="false">
      <c r="C291" s="12" t="s">
        <v>6</v>
      </c>
      <c r="D291" s="13" t="n">
        <v>2601102</v>
      </c>
      <c r="E291" s="13" t="n">
        <v>2016</v>
      </c>
      <c r="F291" s="12" t="s">
        <v>51</v>
      </c>
      <c r="G291" s="12" t="s">
        <v>155</v>
      </c>
      <c r="H291" s="12" t="s">
        <v>47</v>
      </c>
      <c r="I291" s="12" t="s">
        <v>48</v>
      </c>
      <c r="J291" s="12" t="s">
        <v>49</v>
      </c>
      <c r="K291" s="12" t="s">
        <v>52</v>
      </c>
      <c r="L291" s="14" t="n">
        <v>11321945.19</v>
      </c>
      <c r="M291" s="12"/>
    </row>
    <row r="292" customFormat="false" ht="15" hidden="false" customHeight="false" outlineLevel="0" collapsed="false">
      <c r="C292" s="12" t="s">
        <v>6</v>
      </c>
      <c r="D292" s="13" t="n">
        <v>2601102</v>
      </c>
      <c r="E292" s="13" t="n">
        <v>2016</v>
      </c>
      <c r="F292" s="12" t="s">
        <v>53</v>
      </c>
      <c r="G292" s="12" t="s">
        <v>155</v>
      </c>
      <c r="H292" s="12" t="s">
        <v>54</v>
      </c>
      <c r="I292" s="12" t="s">
        <v>55</v>
      </c>
      <c r="J292" s="12" t="s">
        <v>56</v>
      </c>
      <c r="K292" s="12" t="s">
        <v>57</v>
      </c>
      <c r="L292" s="14" t="n">
        <v>144559950.05</v>
      </c>
      <c r="M292" s="12"/>
    </row>
    <row r="293" customFormat="false" ht="15" hidden="false" customHeight="false" outlineLevel="0" collapsed="false">
      <c r="C293" s="12" t="s">
        <v>6</v>
      </c>
      <c r="D293" s="13" t="n">
        <v>2601102</v>
      </c>
      <c r="E293" s="13" t="n">
        <v>2016</v>
      </c>
      <c r="F293" s="12" t="s">
        <v>58</v>
      </c>
      <c r="G293" s="12" t="s">
        <v>155</v>
      </c>
      <c r="H293" s="12" t="s">
        <v>54</v>
      </c>
      <c r="I293" s="12" t="s">
        <v>55</v>
      </c>
      <c r="J293" s="12" t="s">
        <v>56</v>
      </c>
      <c r="K293" s="12" t="s">
        <v>59</v>
      </c>
      <c r="L293" s="14" t="n">
        <v>144095218.23</v>
      </c>
      <c r="M293" s="12"/>
    </row>
    <row r="294" customFormat="false" ht="15" hidden="false" customHeight="false" outlineLevel="0" collapsed="false">
      <c r="C294" s="12" t="s">
        <v>6</v>
      </c>
      <c r="D294" s="13" t="n">
        <v>2601102</v>
      </c>
      <c r="E294" s="13" t="n">
        <v>2016</v>
      </c>
      <c r="F294" s="12" t="s">
        <v>60</v>
      </c>
      <c r="G294" s="12" t="s">
        <v>155</v>
      </c>
      <c r="H294" s="12" t="s">
        <v>54</v>
      </c>
      <c r="I294" s="12" t="s">
        <v>55</v>
      </c>
      <c r="J294" s="12" t="s">
        <v>56</v>
      </c>
      <c r="K294" s="12" t="s">
        <v>61</v>
      </c>
      <c r="L294" s="14" t="n">
        <v>137473977.04</v>
      </c>
      <c r="M294" s="12"/>
    </row>
    <row r="295" customFormat="false" ht="15" hidden="false" customHeight="false" outlineLevel="0" collapsed="false">
      <c r="C295" s="12" t="s">
        <v>6</v>
      </c>
      <c r="D295" s="13" t="n">
        <v>2601102</v>
      </c>
      <c r="E295" s="13" t="n">
        <v>2016</v>
      </c>
      <c r="F295" s="12" t="s">
        <v>62</v>
      </c>
      <c r="G295" s="12" t="s">
        <v>155</v>
      </c>
      <c r="H295" s="12" t="s">
        <v>47</v>
      </c>
      <c r="I295" s="12" t="s">
        <v>63</v>
      </c>
      <c r="J295" s="12" t="s">
        <v>64</v>
      </c>
      <c r="K295" s="12" t="s">
        <v>50</v>
      </c>
      <c r="L295" s="14" t="n">
        <v>8421767.34</v>
      </c>
      <c r="M295" s="12"/>
    </row>
    <row r="296" customFormat="false" ht="15" hidden="false" customHeight="false" outlineLevel="0" collapsed="false">
      <c r="C296" s="12" t="s">
        <v>6</v>
      </c>
      <c r="D296" s="13" t="n">
        <v>2601102</v>
      </c>
      <c r="E296" s="13" t="n">
        <v>2016</v>
      </c>
      <c r="F296" s="12" t="s">
        <v>65</v>
      </c>
      <c r="G296" s="12" t="s">
        <v>155</v>
      </c>
      <c r="H296" s="12" t="s">
        <v>47</v>
      </c>
      <c r="I296" s="12" t="s">
        <v>66</v>
      </c>
      <c r="J296" s="12" t="s">
        <v>67</v>
      </c>
      <c r="K296" s="12" t="s">
        <v>50</v>
      </c>
      <c r="L296" s="14" t="n">
        <v>122197382.77</v>
      </c>
      <c r="M296" s="12"/>
    </row>
    <row r="297" customFormat="false" ht="15" hidden="false" customHeight="false" outlineLevel="0" collapsed="false">
      <c r="C297" s="12" t="s">
        <v>6</v>
      </c>
      <c r="D297" s="13" t="n">
        <v>2601102</v>
      </c>
      <c r="E297" s="13" t="n">
        <v>2016</v>
      </c>
      <c r="F297" s="12" t="s">
        <v>68</v>
      </c>
      <c r="G297" s="12" t="s">
        <v>155</v>
      </c>
      <c r="H297" s="12" t="s">
        <v>47</v>
      </c>
      <c r="I297" s="12" t="s">
        <v>69</v>
      </c>
      <c r="J297" s="12" t="s">
        <v>70</v>
      </c>
      <c r="K297" s="12" t="s">
        <v>50</v>
      </c>
      <c r="L297" s="14" t="n">
        <v>1702375.9</v>
      </c>
      <c r="M297" s="12"/>
    </row>
    <row r="298" customFormat="false" ht="15" hidden="false" customHeight="false" outlineLevel="0" collapsed="false">
      <c r="C298" s="12" t="s">
        <v>6</v>
      </c>
      <c r="D298" s="13" t="n">
        <v>2601102</v>
      </c>
      <c r="E298" s="13" t="n">
        <v>2016</v>
      </c>
      <c r="F298" s="12" t="s">
        <v>71</v>
      </c>
      <c r="G298" s="12" t="s">
        <v>155</v>
      </c>
      <c r="H298" s="12" t="s">
        <v>47</v>
      </c>
      <c r="I298" s="12" t="s">
        <v>72</v>
      </c>
      <c r="J298" s="12" t="s">
        <v>73</v>
      </c>
      <c r="K298" s="12" t="s">
        <v>50</v>
      </c>
      <c r="L298" s="14" t="n">
        <v>122084808.01</v>
      </c>
      <c r="M298" s="12"/>
    </row>
    <row r="299" customFormat="false" ht="15" hidden="false" customHeight="false" outlineLevel="0" collapsed="false">
      <c r="C299" s="12" t="s">
        <v>6</v>
      </c>
      <c r="D299" s="13" t="n">
        <v>2601102</v>
      </c>
      <c r="E299" s="13" t="n">
        <v>2017</v>
      </c>
      <c r="F299" s="12" t="s">
        <v>45</v>
      </c>
      <c r="G299" s="12" t="s">
        <v>156</v>
      </c>
      <c r="H299" s="12" t="s">
        <v>47</v>
      </c>
      <c r="I299" s="12" t="s">
        <v>48</v>
      </c>
      <c r="J299" s="12" t="s">
        <v>49</v>
      </c>
      <c r="K299" s="12" t="s">
        <v>50</v>
      </c>
      <c r="L299" s="14" t="n">
        <v>161988934.65</v>
      </c>
      <c r="M299" s="12" t="s">
        <v>79</v>
      </c>
    </row>
    <row r="300" customFormat="false" ht="15" hidden="false" customHeight="false" outlineLevel="0" collapsed="false">
      <c r="C300" s="12" t="s">
        <v>6</v>
      </c>
      <c r="D300" s="13" t="n">
        <v>2601102</v>
      </c>
      <c r="E300" s="13" t="n">
        <v>2017</v>
      </c>
      <c r="F300" s="12" t="s">
        <v>51</v>
      </c>
      <c r="G300" s="12" t="s">
        <v>156</v>
      </c>
      <c r="H300" s="12" t="s">
        <v>47</v>
      </c>
      <c r="I300" s="12" t="s">
        <v>48</v>
      </c>
      <c r="J300" s="12" t="s">
        <v>49</v>
      </c>
      <c r="K300" s="12" t="s">
        <v>52</v>
      </c>
      <c r="L300" s="14" t="n">
        <v>11013976.38</v>
      </c>
      <c r="M300" s="12" t="s">
        <v>79</v>
      </c>
    </row>
    <row r="301" customFormat="false" ht="15" hidden="false" customHeight="false" outlineLevel="0" collapsed="false">
      <c r="C301" s="12" t="s">
        <v>6</v>
      </c>
      <c r="D301" s="13" t="n">
        <v>2601102</v>
      </c>
      <c r="E301" s="13" t="n">
        <v>2017</v>
      </c>
      <c r="F301" s="12" t="s">
        <v>53</v>
      </c>
      <c r="G301" s="12" t="s">
        <v>156</v>
      </c>
      <c r="H301" s="12" t="s">
        <v>54</v>
      </c>
      <c r="I301" s="12" t="s">
        <v>55</v>
      </c>
      <c r="J301" s="12" t="s">
        <v>56</v>
      </c>
      <c r="K301" s="12" t="s">
        <v>57</v>
      </c>
      <c r="L301" s="14" t="n">
        <v>154891637.84</v>
      </c>
      <c r="M301" s="12" t="s">
        <v>79</v>
      </c>
    </row>
    <row r="302" customFormat="false" ht="15" hidden="false" customHeight="false" outlineLevel="0" collapsed="false">
      <c r="C302" s="12" t="s">
        <v>6</v>
      </c>
      <c r="D302" s="13" t="n">
        <v>2601102</v>
      </c>
      <c r="E302" s="13" t="n">
        <v>2017</v>
      </c>
      <c r="F302" s="12" t="s">
        <v>58</v>
      </c>
      <c r="G302" s="12" t="s">
        <v>156</v>
      </c>
      <c r="H302" s="12" t="s">
        <v>54</v>
      </c>
      <c r="I302" s="12" t="s">
        <v>55</v>
      </c>
      <c r="J302" s="12" t="s">
        <v>56</v>
      </c>
      <c r="K302" s="12" t="s">
        <v>59</v>
      </c>
      <c r="L302" s="14" t="n">
        <v>154826524.06</v>
      </c>
      <c r="M302" s="12" t="s">
        <v>79</v>
      </c>
    </row>
    <row r="303" customFormat="false" ht="15" hidden="false" customHeight="false" outlineLevel="0" collapsed="false">
      <c r="C303" s="12" t="s">
        <v>6</v>
      </c>
      <c r="D303" s="13" t="n">
        <v>2601102</v>
      </c>
      <c r="E303" s="13" t="n">
        <v>2017</v>
      </c>
      <c r="F303" s="12" t="s">
        <v>60</v>
      </c>
      <c r="G303" s="12" t="s">
        <v>156</v>
      </c>
      <c r="H303" s="12" t="s">
        <v>54</v>
      </c>
      <c r="I303" s="12" t="s">
        <v>55</v>
      </c>
      <c r="J303" s="12" t="s">
        <v>56</v>
      </c>
      <c r="K303" s="12" t="s">
        <v>61</v>
      </c>
      <c r="L303" s="14" t="n">
        <v>147965476.25</v>
      </c>
      <c r="M303" s="12" t="s">
        <v>79</v>
      </c>
    </row>
    <row r="304" customFormat="false" ht="15" hidden="false" customHeight="false" outlineLevel="0" collapsed="false">
      <c r="C304" s="12" t="s">
        <v>6</v>
      </c>
      <c r="D304" s="13" t="n">
        <v>2601102</v>
      </c>
      <c r="E304" s="13" t="n">
        <v>2017</v>
      </c>
      <c r="F304" s="12" t="s">
        <v>80</v>
      </c>
      <c r="G304" s="12" t="s">
        <v>156</v>
      </c>
      <c r="H304" s="12" t="s">
        <v>81</v>
      </c>
      <c r="I304" s="12" t="s">
        <v>55</v>
      </c>
      <c r="J304" s="12" t="s">
        <v>82</v>
      </c>
      <c r="K304" s="12" t="s">
        <v>57</v>
      </c>
      <c r="L304" s="14" t="n">
        <v>146549527.9</v>
      </c>
      <c r="M304" s="12" t="s">
        <v>83</v>
      </c>
    </row>
    <row r="305" customFormat="false" ht="15" hidden="false" customHeight="false" outlineLevel="0" collapsed="false">
      <c r="C305" s="12" t="s">
        <v>6</v>
      </c>
      <c r="D305" s="13" t="n">
        <v>2601102</v>
      </c>
      <c r="E305" s="13" t="n">
        <v>2017</v>
      </c>
      <c r="F305" s="12" t="s">
        <v>84</v>
      </c>
      <c r="G305" s="12" t="s">
        <v>156</v>
      </c>
      <c r="H305" s="12" t="s">
        <v>81</v>
      </c>
      <c r="I305" s="12" t="s">
        <v>55</v>
      </c>
      <c r="J305" s="12" t="s">
        <v>82</v>
      </c>
      <c r="K305" s="12" t="s">
        <v>59</v>
      </c>
      <c r="L305" s="14" t="n">
        <v>146484414.12</v>
      </c>
      <c r="M305" s="12" t="s">
        <v>83</v>
      </c>
    </row>
    <row r="306" customFormat="false" ht="15" hidden="false" customHeight="false" outlineLevel="0" collapsed="false">
      <c r="C306" s="12" t="s">
        <v>6</v>
      </c>
      <c r="D306" s="13" t="n">
        <v>2601102</v>
      </c>
      <c r="E306" s="13" t="n">
        <v>2017</v>
      </c>
      <c r="F306" s="12" t="s">
        <v>85</v>
      </c>
      <c r="G306" s="12" t="s">
        <v>156</v>
      </c>
      <c r="H306" s="12" t="s">
        <v>81</v>
      </c>
      <c r="I306" s="12" t="s">
        <v>55</v>
      </c>
      <c r="J306" s="12" t="s">
        <v>82</v>
      </c>
      <c r="K306" s="12" t="s">
        <v>61</v>
      </c>
      <c r="L306" s="14" t="n">
        <v>140832046.85</v>
      </c>
      <c r="M306" s="12" t="s">
        <v>83</v>
      </c>
    </row>
    <row r="307" customFormat="false" ht="15" hidden="false" customHeight="false" outlineLevel="0" collapsed="false">
      <c r="C307" s="12" t="s">
        <v>6</v>
      </c>
      <c r="D307" s="13" t="n">
        <v>2601102</v>
      </c>
      <c r="E307" s="13" t="n">
        <v>2017</v>
      </c>
      <c r="F307" s="12" t="s">
        <v>62</v>
      </c>
      <c r="G307" s="12" t="s">
        <v>156</v>
      </c>
      <c r="H307" s="12" t="s">
        <v>47</v>
      </c>
      <c r="I307" s="12" t="s">
        <v>63</v>
      </c>
      <c r="J307" s="12" t="s">
        <v>64</v>
      </c>
      <c r="K307" s="12" t="s">
        <v>50</v>
      </c>
      <c r="L307" s="14" t="n">
        <v>8909186.29</v>
      </c>
      <c r="M307" s="12" t="s">
        <v>79</v>
      </c>
    </row>
    <row r="308" customFormat="false" ht="15" hidden="false" customHeight="false" outlineLevel="0" collapsed="false">
      <c r="C308" s="12" t="s">
        <v>6</v>
      </c>
      <c r="D308" s="13" t="n">
        <v>2601102</v>
      </c>
      <c r="E308" s="13" t="n">
        <v>2017</v>
      </c>
      <c r="F308" s="12" t="s">
        <v>65</v>
      </c>
      <c r="G308" s="12" t="s">
        <v>156</v>
      </c>
      <c r="H308" s="12" t="s">
        <v>47</v>
      </c>
      <c r="I308" s="12" t="s">
        <v>66</v>
      </c>
      <c r="J308" s="12" t="s">
        <v>67</v>
      </c>
      <c r="K308" s="12" t="s">
        <v>50</v>
      </c>
      <c r="L308" s="14" t="n">
        <v>126354124.88</v>
      </c>
      <c r="M308" s="12" t="s">
        <v>79</v>
      </c>
    </row>
    <row r="309" customFormat="false" ht="15" hidden="false" customHeight="false" outlineLevel="0" collapsed="false">
      <c r="C309" s="12" t="s">
        <v>6</v>
      </c>
      <c r="D309" s="13" t="n">
        <v>2601102</v>
      </c>
      <c r="E309" s="13" t="n">
        <v>2017</v>
      </c>
      <c r="F309" s="12" t="s">
        <v>68</v>
      </c>
      <c r="G309" s="12" t="s">
        <v>156</v>
      </c>
      <c r="H309" s="12" t="s">
        <v>47</v>
      </c>
      <c r="I309" s="12" t="s">
        <v>69</v>
      </c>
      <c r="J309" s="12" t="s">
        <v>70</v>
      </c>
      <c r="K309" s="12" t="s">
        <v>50</v>
      </c>
      <c r="L309" s="14" t="n">
        <v>1126556.66</v>
      </c>
      <c r="M309" s="12" t="s">
        <v>79</v>
      </c>
    </row>
    <row r="310" customFormat="false" ht="15" hidden="false" customHeight="false" outlineLevel="0" collapsed="false">
      <c r="C310" s="12" t="s">
        <v>6</v>
      </c>
      <c r="D310" s="13" t="n">
        <v>2601102</v>
      </c>
      <c r="E310" s="13" t="n">
        <v>2017</v>
      </c>
      <c r="F310" s="12" t="s">
        <v>71</v>
      </c>
      <c r="G310" s="12" t="s">
        <v>156</v>
      </c>
      <c r="H310" s="12" t="s">
        <v>47</v>
      </c>
      <c r="I310" s="12" t="s">
        <v>72</v>
      </c>
      <c r="J310" s="12" t="s">
        <v>73</v>
      </c>
      <c r="K310" s="12" t="s">
        <v>50</v>
      </c>
      <c r="L310" s="14" t="n">
        <v>125224381.34</v>
      </c>
      <c r="M310" s="12" t="s">
        <v>79</v>
      </c>
    </row>
    <row r="311" customFormat="false" ht="15" hidden="false" customHeight="false" outlineLevel="0" collapsed="false">
      <c r="C311" s="12" t="s">
        <v>6</v>
      </c>
      <c r="D311" s="13" t="n">
        <v>2601102</v>
      </c>
      <c r="E311" s="13" t="n">
        <v>2017</v>
      </c>
      <c r="F311" s="12" t="s">
        <v>74</v>
      </c>
      <c r="G311" s="12" t="s">
        <v>156</v>
      </c>
      <c r="H311" s="12" t="s">
        <v>47</v>
      </c>
      <c r="I311" s="12" t="s">
        <v>75</v>
      </c>
      <c r="J311" s="12" t="s">
        <v>76</v>
      </c>
      <c r="K311" s="12" t="s">
        <v>50</v>
      </c>
      <c r="L311" s="14" t="n">
        <v>78483.8</v>
      </c>
      <c r="M311" s="12" t="s">
        <v>79</v>
      </c>
    </row>
    <row r="312" customFormat="false" ht="15" hidden="false" customHeight="false" outlineLevel="0" collapsed="false">
      <c r="C312" s="12" t="s">
        <v>6</v>
      </c>
      <c r="D312" s="13" t="n">
        <v>2601102</v>
      </c>
      <c r="E312" s="13" t="n">
        <v>2017</v>
      </c>
      <c r="F312" s="12" t="s">
        <v>86</v>
      </c>
      <c r="G312" s="12" t="s">
        <v>156</v>
      </c>
      <c r="H312" s="12" t="s">
        <v>81</v>
      </c>
      <c r="I312" s="12" t="s">
        <v>55</v>
      </c>
      <c r="J312" s="12" t="s">
        <v>87</v>
      </c>
      <c r="K312" s="12" t="s">
        <v>57</v>
      </c>
      <c r="L312" s="14" t="n">
        <v>4892795.77</v>
      </c>
      <c r="M312" s="12" t="s">
        <v>83</v>
      </c>
    </row>
    <row r="313" customFormat="false" ht="15" hidden="false" customHeight="false" outlineLevel="0" collapsed="false">
      <c r="C313" s="12" t="s">
        <v>6</v>
      </c>
      <c r="D313" s="13" t="n">
        <v>2601102</v>
      </c>
      <c r="E313" s="13" t="n">
        <v>2017</v>
      </c>
      <c r="F313" s="12" t="s">
        <v>157</v>
      </c>
      <c r="G313" s="12" t="s">
        <v>156</v>
      </c>
      <c r="H313" s="12" t="s">
        <v>81</v>
      </c>
      <c r="I313" s="12" t="s">
        <v>55</v>
      </c>
      <c r="J313" s="12" t="s">
        <v>158</v>
      </c>
      <c r="K313" s="12" t="s">
        <v>57</v>
      </c>
      <c r="L313" s="14" t="n">
        <v>936828.4</v>
      </c>
      <c r="M313" s="12" t="s">
        <v>83</v>
      </c>
    </row>
    <row r="314" customFormat="false" ht="15" hidden="false" customHeight="false" outlineLevel="0" collapsed="false">
      <c r="C314" s="12" t="s">
        <v>6</v>
      </c>
      <c r="D314" s="13" t="n">
        <v>2601102</v>
      </c>
      <c r="E314" s="13" t="n">
        <v>2017</v>
      </c>
      <c r="F314" s="12" t="s">
        <v>88</v>
      </c>
      <c r="G314" s="12" t="s">
        <v>156</v>
      </c>
      <c r="H314" s="12" t="s">
        <v>81</v>
      </c>
      <c r="I314" s="12" t="s">
        <v>55</v>
      </c>
      <c r="J314" s="12" t="s">
        <v>89</v>
      </c>
      <c r="K314" s="12" t="s">
        <v>57</v>
      </c>
      <c r="L314" s="14" t="n">
        <v>10027980.35</v>
      </c>
      <c r="M314" s="12" t="s">
        <v>83</v>
      </c>
    </row>
    <row r="315" customFormat="false" ht="15" hidden="false" customHeight="false" outlineLevel="0" collapsed="false">
      <c r="C315" s="12" t="s">
        <v>6</v>
      </c>
      <c r="D315" s="13" t="n">
        <v>2601102</v>
      </c>
      <c r="E315" s="13" t="n">
        <v>2017</v>
      </c>
      <c r="F315" s="12" t="s">
        <v>90</v>
      </c>
      <c r="G315" s="12" t="s">
        <v>156</v>
      </c>
      <c r="H315" s="12" t="s">
        <v>81</v>
      </c>
      <c r="I315" s="12" t="s">
        <v>55</v>
      </c>
      <c r="J315" s="12" t="s">
        <v>91</v>
      </c>
      <c r="K315" s="12" t="s">
        <v>57</v>
      </c>
      <c r="L315" s="14" t="n">
        <v>3815137.65</v>
      </c>
      <c r="M315" s="12" t="s">
        <v>83</v>
      </c>
    </row>
    <row r="316" customFormat="false" ht="15" hidden="false" customHeight="false" outlineLevel="0" collapsed="false">
      <c r="C316" s="12" t="s">
        <v>6</v>
      </c>
      <c r="D316" s="13" t="n">
        <v>2601102</v>
      </c>
      <c r="E316" s="13" t="n">
        <v>2017</v>
      </c>
      <c r="F316" s="12" t="s">
        <v>92</v>
      </c>
      <c r="G316" s="12" t="s">
        <v>156</v>
      </c>
      <c r="H316" s="12" t="s">
        <v>81</v>
      </c>
      <c r="I316" s="12" t="s">
        <v>55</v>
      </c>
      <c r="J316" s="12" t="s">
        <v>93</v>
      </c>
      <c r="K316" s="12" t="s">
        <v>57</v>
      </c>
      <c r="L316" s="14" t="n">
        <v>13189246.94</v>
      </c>
      <c r="M316" s="12" t="s">
        <v>83</v>
      </c>
    </row>
    <row r="317" customFormat="false" ht="15" hidden="false" customHeight="false" outlineLevel="0" collapsed="false">
      <c r="C317" s="12" t="s">
        <v>6</v>
      </c>
      <c r="D317" s="13" t="n">
        <v>2601102</v>
      </c>
      <c r="E317" s="13" t="n">
        <v>2017</v>
      </c>
      <c r="F317" s="12" t="s">
        <v>94</v>
      </c>
      <c r="G317" s="12" t="s">
        <v>156</v>
      </c>
      <c r="H317" s="12" t="s">
        <v>81</v>
      </c>
      <c r="I317" s="12" t="s">
        <v>55</v>
      </c>
      <c r="J317" s="12" t="s">
        <v>95</v>
      </c>
      <c r="K317" s="12" t="s">
        <v>57</v>
      </c>
      <c r="L317" s="14" t="n">
        <v>31209743.92</v>
      </c>
      <c r="M317" s="12" t="s">
        <v>83</v>
      </c>
    </row>
    <row r="318" customFormat="false" ht="15" hidden="false" customHeight="false" outlineLevel="0" collapsed="false">
      <c r="C318" s="12" t="s">
        <v>6</v>
      </c>
      <c r="D318" s="13" t="n">
        <v>2601102</v>
      </c>
      <c r="E318" s="13" t="n">
        <v>2017</v>
      </c>
      <c r="F318" s="12" t="s">
        <v>98</v>
      </c>
      <c r="G318" s="12" t="s">
        <v>156</v>
      </c>
      <c r="H318" s="12" t="s">
        <v>81</v>
      </c>
      <c r="I318" s="12" t="s">
        <v>55</v>
      </c>
      <c r="J318" s="12" t="s">
        <v>99</v>
      </c>
      <c r="K318" s="12" t="s">
        <v>57</v>
      </c>
      <c r="L318" s="14" t="n">
        <v>60726478.32</v>
      </c>
      <c r="M318" s="12" t="s">
        <v>83</v>
      </c>
    </row>
    <row r="319" customFormat="false" ht="15" hidden="false" customHeight="false" outlineLevel="0" collapsed="false">
      <c r="C319" s="12" t="s">
        <v>6</v>
      </c>
      <c r="D319" s="13" t="n">
        <v>2601102</v>
      </c>
      <c r="E319" s="13" t="n">
        <v>2017</v>
      </c>
      <c r="F319" s="12" t="s">
        <v>100</v>
      </c>
      <c r="G319" s="12" t="s">
        <v>156</v>
      </c>
      <c r="H319" s="12" t="s">
        <v>81</v>
      </c>
      <c r="I319" s="12" t="s">
        <v>55</v>
      </c>
      <c r="J319" s="12" t="s">
        <v>101</v>
      </c>
      <c r="K319" s="12" t="s">
        <v>57</v>
      </c>
      <c r="L319" s="14" t="n">
        <v>3927214.99</v>
      </c>
      <c r="M319" s="12" t="s">
        <v>83</v>
      </c>
    </row>
    <row r="320" customFormat="false" ht="15" hidden="false" customHeight="false" outlineLevel="0" collapsed="false">
      <c r="C320" s="12" t="s">
        <v>6</v>
      </c>
      <c r="D320" s="13" t="n">
        <v>2601102</v>
      </c>
      <c r="E320" s="13" t="n">
        <v>2017</v>
      </c>
      <c r="F320" s="12" t="s">
        <v>102</v>
      </c>
      <c r="G320" s="12" t="s">
        <v>156</v>
      </c>
      <c r="H320" s="12" t="s">
        <v>81</v>
      </c>
      <c r="I320" s="12" t="s">
        <v>55</v>
      </c>
      <c r="J320" s="12" t="s">
        <v>103</v>
      </c>
      <c r="K320" s="12" t="s">
        <v>57</v>
      </c>
      <c r="L320" s="14" t="n">
        <v>9721716.98</v>
      </c>
      <c r="M320" s="12" t="s">
        <v>83</v>
      </c>
    </row>
    <row r="321" customFormat="false" ht="15" hidden="false" customHeight="false" outlineLevel="0" collapsed="false">
      <c r="C321" s="12" t="s">
        <v>6</v>
      </c>
      <c r="D321" s="13" t="n">
        <v>2601102</v>
      </c>
      <c r="E321" s="13" t="n">
        <v>2017</v>
      </c>
      <c r="F321" s="12" t="s">
        <v>104</v>
      </c>
      <c r="G321" s="12" t="s">
        <v>156</v>
      </c>
      <c r="H321" s="12" t="s">
        <v>81</v>
      </c>
      <c r="I321" s="12" t="s">
        <v>55</v>
      </c>
      <c r="J321" s="12" t="s">
        <v>105</v>
      </c>
      <c r="K321" s="12" t="s">
        <v>57</v>
      </c>
      <c r="L321" s="14" t="n">
        <v>163.06</v>
      </c>
      <c r="M321" s="12" t="s">
        <v>83</v>
      </c>
    </row>
    <row r="322" customFormat="false" ht="15" hidden="false" customHeight="false" outlineLevel="0" collapsed="false">
      <c r="C322" s="12" t="s">
        <v>6</v>
      </c>
      <c r="D322" s="13" t="n">
        <v>2601102</v>
      </c>
      <c r="E322" s="13" t="n">
        <v>2017</v>
      </c>
      <c r="F322" s="12" t="s">
        <v>159</v>
      </c>
      <c r="G322" s="12" t="s">
        <v>156</v>
      </c>
      <c r="H322" s="12" t="s">
        <v>81</v>
      </c>
      <c r="I322" s="12" t="s">
        <v>55</v>
      </c>
      <c r="J322" s="12" t="s">
        <v>160</v>
      </c>
      <c r="K322" s="12" t="s">
        <v>57</v>
      </c>
      <c r="L322" s="14" t="n">
        <v>1075166.19</v>
      </c>
      <c r="M322" s="12" t="s">
        <v>83</v>
      </c>
    </row>
    <row r="323" customFormat="false" ht="15" hidden="false" customHeight="false" outlineLevel="0" collapsed="false">
      <c r="C323" s="12" t="s">
        <v>6</v>
      </c>
      <c r="D323" s="13" t="n">
        <v>2601102</v>
      </c>
      <c r="E323" s="13" t="n">
        <v>2017</v>
      </c>
      <c r="F323" s="12" t="s">
        <v>108</v>
      </c>
      <c r="G323" s="12" t="s">
        <v>156</v>
      </c>
      <c r="H323" s="12" t="s">
        <v>81</v>
      </c>
      <c r="I323" s="12" t="s">
        <v>55</v>
      </c>
      <c r="J323" s="12" t="s">
        <v>109</v>
      </c>
      <c r="K323" s="12" t="s">
        <v>57</v>
      </c>
      <c r="L323" s="14" t="n">
        <v>3157171.33</v>
      </c>
      <c r="M323" s="12" t="s">
        <v>83</v>
      </c>
    </row>
    <row r="324" customFormat="false" ht="15" hidden="false" customHeight="false" outlineLevel="0" collapsed="false">
      <c r="C324" s="12" t="s">
        <v>6</v>
      </c>
      <c r="D324" s="13" t="n">
        <v>2601102</v>
      </c>
      <c r="E324" s="13" t="n">
        <v>2017</v>
      </c>
      <c r="F324" s="12" t="s">
        <v>110</v>
      </c>
      <c r="G324" s="12" t="s">
        <v>156</v>
      </c>
      <c r="H324" s="12" t="s">
        <v>81</v>
      </c>
      <c r="I324" s="12" t="s">
        <v>55</v>
      </c>
      <c r="J324" s="12" t="s">
        <v>111</v>
      </c>
      <c r="K324" s="12" t="s">
        <v>57</v>
      </c>
      <c r="L324" s="14" t="n">
        <v>221904.74</v>
      </c>
      <c r="M324" s="12" t="s">
        <v>83</v>
      </c>
    </row>
    <row r="325" customFormat="false" ht="15" hidden="false" customHeight="false" outlineLevel="0" collapsed="false">
      <c r="C325" s="12" t="s">
        <v>6</v>
      </c>
      <c r="D325" s="13" t="n">
        <v>2601102</v>
      </c>
      <c r="E325" s="13" t="n">
        <v>2017</v>
      </c>
      <c r="F325" s="12" t="s">
        <v>137</v>
      </c>
      <c r="G325" s="12" t="s">
        <v>156</v>
      </c>
      <c r="H325" s="12" t="s">
        <v>81</v>
      </c>
      <c r="I325" s="12" t="s">
        <v>55</v>
      </c>
      <c r="J325" s="12" t="s">
        <v>138</v>
      </c>
      <c r="K325" s="12" t="s">
        <v>57</v>
      </c>
      <c r="L325" s="14" t="n">
        <v>505057.5</v>
      </c>
      <c r="M325" s="12" t="s">
        <v>83</v>
      </c>
    </row>
    <row r="326" customFormat="false" ht="15" hidden="false" customHeight="false" outlineLevel="0" collapsed="false">
      <c r="C326" s="12" t="s">
        <v>6</v>
      </c>
      <c r="D326" s="13" t="n">
        <v>2601102</v>
      </c>
      <c r="E326" s="13" t="n">
        <v>2017</v>
      </c>
      <c r="F326" s="12" t="s">
        <v>114</v>
      </c>
      <c r="G326" s="12" t="s">
        <v>156</v>
      </c>
      <c r="H326" s="12" t="s">
        <v>81</v>
      </c>
      <c r="I326" s="12" t="s">
        <v>55</v>
      </c>
      <c r="J326" s="12" t="s">
        <v>115</v>
      </c>
      <c r="K326" s="12" t="s">
        <v>57</v>
      </c>
      <c r="L326" s="14" t="n">
        <v>3142921.76</v>
      </c>
      <c r="M326" s="12" t="s">
        <v>83</v>
      </c>
    </row>
    <row r="327" customFormat="false" ht="15" hidden="false" customHeight="false" outlineLevel="0" collapsed="false">
      <c r="C327" s="12" t="s">
        <v>6</v>
      </c>
      <c r="D327" s="13" t="n">
        <v>2601102</v>
      </c>
      <c r="E327" s="13" t="n">
        <v>2018</v>
      </c>
      <c r="F327" s="12" t="s">
        <v>45</v>
      </c>
      <c r="G327" s="12" t="s">
        <v>161</v>
      </c>
      <c r="H327" s="12" t="s">
        <v>47</v>
      </c>
      <c r="I327" s="12" t="s">
        <v>48</v>
      </c>
      <c r="J327" s="12" t="s">
        <v>49</v>
      </c>
      <c r="K327" s="12" t="s">
        <v>50</v>
      </c>
      <c r="L327" s="14" t="n">
        <v>184621817.19</v>
      </c>
      <c r="M327" s="12" t="s">
        <v>79</v>
      </c>
    </row>
    <row r="328" customFormat="false" ht="15" hidden="false" customHeight="false" outlineLevel="0" collapsed="false">
      <c r="C328" s="12" t="s">
        <v>6</v>
      </c>
      <c r="D328" s="13" t="n">
        <v>2601102</v>
      </c>
      <c r="E328" s="13" t="n">
        <v>2018</v>
      </c>
      <c r="F328" s="12" t="s">
        <v>51</v>
      </c>
      <c r="G328" s="12" t="s">
        <v>161</v>
      </c>
      <c r="H328" s="12" t="s">
        <v>47</v>
      </c>
      <c r="I328" s="12" t="s">
        <v>48</v>
      </c>
      <c r="J328" s="12" t="s">
        <v>49</v>
      </c>
      <c r="K328" s="12" t="s">
        <v>52</v>
      </c>
      <c r="L328" s="14" t="n">
        <v>11712988.7</v>
      </c>
      <c r="M328" s="12" t="s">
        <v>79</v>
      </c>
    </row>
    <row r="329" customFormat="false" ht="15" hidden="false" customHeight="false" outlineLevel="0" collapsed="false">
      <c r="C329" s="12" t="s">
        <v>6</v>
      </c>
      <c r="D329" s="13" t="n">
        <v>2601102</v>
      </c>
      <c r="E329" s="13" t="n">
        <v>2018</v>
      </c>
      <c r="F329" s="12" t="s">
        <v>53</v>
      </c>
      <c r="G329" s="12" t="s">
        <v>161</v>
      </c>
      <c r="H329" s="12" t="s">
        <v>54</v>
      </c>
      <c r="I329" s="12" t="s">
        <v>55</v>
      </c>
      <c r="J329" s="12" t="s">
        <v>56</v>
      </c>
      <c r="K329" s="12" t="s">
        <v>57</v>
      </c>
      <c r="L329" s="14" t="n">
        <v>173889763.93</v>
      </c>
      <c r="M329" s="12" t="s">
        <v>79</v>
      </c>
    </row>
    <row r="330" customFormat="false" ht="15" hidden="false" customHeight="false" outlineLevel="0" collapsed="false">
      <c r="C330" s="12" t="s">
        <v>6</v>
      </c>
      <c r="D330" s="13" t="n">
        <v>2601102</v>
      </c>
      <c r="E330" s="13" t="n">
        <v>2018</v>
      </c>
      <c r="F330" s="12" t="s">
        <v>58</v>
      </c>
      <c r="G330" s="12" t="s">
        <v>161</v>
      </c>
      <c r="H330" s="12" t="s">
        <v>54</v>
      </c>
      <c r="I330" s="12" t="s">
        <v>55</v>
      </c>
      <c r="J330" s="12" t="s">
        <v>56</v>
      </c>
      <c r="K330" s="12" t="s">
        <v>59</v>
      </c>
      <c r="L330" s="14" t="n">
        <v>170863602.23</v>
      </c>
      <c r="M330" s="12" t="s">
        <v>79</v>
      </c>
    </row>
    <row r="331" customFormat="false" ht="15" hidden="false" customHeight="false" outlineLevel="0" collapsed="false">
      <c r="C331" s="12" t="s">
        <v>6</v>
      </c>
      <c r="D331" s="13" t="n">
        <v>2601102</v>
      </c>
      <c r="E331" s="13" t="n">
        <v>2018</v>
      </c>
      <c r="F331" s="12" t="s">
        <v>60</v>
      </c>
      <c r="G331" s="12" t="s">
        <v>161</v>
      </c>
      <c r="H331" s="12" t="s">
        <v>54</v>
      </c>
      <c r="I331" s="12" t="s">
        <v>55</v>
      </c>
      <c r="J331" s="12" t="s">
        <v>56</v>
      </c>
      <c r="K331" s="12" t="s">
        <v>61</v>
      </c>
      <c r="L331" s="14" t="n">
        <v>164697256.32</v>
      </c>
      <c r="M331" s="12" t="s">
        <v>79</v>
      </c>
    </row>
    <row r="332" customFormat="false" ht="15" hidden="false" customHeight="false" outlineLevel="0" collapsed="false">
      <c r="C332" s="12" t="s">
        <v>6</v>
      </c>
      <c r="D332" s="13" t="n">
        <v>2601102</v>
      </c>
      <c r="E332" s="13" t="n">
        <v>2018</v>
      </c>
      <c r="F332" s="12" t="s">
        <v>80</v>
      </c>
      <c r="G332" s="12" t="s">
        <v>161</v>
      </c>
      <c r="H332" s="12" t="s">
        <v>81</v>
      </c>
      <c r="I332" s="12" t="s">
        <v>55</v>
      </c>
      <c r="J332" s="12" t="s">
        <v>82</v>
      </c>
      <c r="K332" s="12" t="s">
        <v>57</v>
      </c>
      <c r="L332" s="14" t="n">
        <v>166215763.21</v>
      </c>
      <c r="M332" s="12" t="s">
        <v>83</v>
      </c>
    </row>
    <row r="333" customFormat="false" ht="15" hidden="false" customHeight="false" outlineLevel="0" collapsed="false">
      <c r="C333" s="12" t="s">
        <v>6</v>
      </c>
      <c r="D333" s="13" t="n">
        <v>2601102</v>
      </c>
      <c r="E333" s="13" t="n">
        <v>2018</v>
      </c>
      <c r="F333" s="12" t="s">
        <v>84</v>
      </c>
      <c r="G333" s="12" t="s">
        <v>161</v>
      </c>
      <c r="H333" s="12" t="s">
        <v>81</v>
      </c>
      <c r="I333" s="12" t="s">
        <v>55</v>
      </c>
      <c r="J333" s="12" t="s">
        <v>82</v>
      </c>
      <c r="K333" s="12" t="s">
        <v>59</v>
      </c>
      <c r="L333" s="14" t="n">
        <v>163189601.51</v>
      </c>
      <c r="M333" s="12" t="s">
        <v>83</v>
      </c>
    </row>
    <row r="334" customFormat="false" ht="15" hidden="false" customHeight="false" outlineLevel="0" collapsed="false">
      <c r="C334" s="12" t="s">
        <v>6</v>
      </c>
      <c r="D334" s="13" t="n">
        <v>2601102</v>
      </c>
      <c r="E334" s="13" t="n">
        <v>2018</v>
      </c>
      <c r="F334" s="12" t="s">
        <v>85</v>
      </c>
      <c r="G334" s="12" t="s">
        <v>161</v>
      </c>
      <c r="H334" s="12" t="s">
        <v>81</v>
      </c>
      <c r="I334" s="12" t="s">
        <v>55</v>
      </c>
      <c r="J334" s="12" t="s">
        <v>82</v>
      </c>
      <c r="K334" s="12" t="s">
        <v>61</v>
      </c>
      <c r="L334" s="14" t="n">
        <v>157246374.23</v>
      </c>
      <c r="M334" s="12" t="s">
        <v>83</v>
      </c>
    </row>
    <row r="335" customFormat="false" ht="15" hidden="false" customHeight="false" outlineLevel="0" collapsed="false">
      <c r="C335" s="12" t="s">
        <v>6</v>
      </c>
      <c r="D335" s="13" t="n">
        <v>2601102</v>
      </c>
      <c r="E335" s="13" t="n">
        <v>2018</v>
      </c>
      <c r="F335" s="12" t="s">
        <v>62</v>
      </c>
      <c r="G335" s="12" t="s">
        <v>161</v>
      </c>
      <c r="H335" s="12" t="s">
        <v>47</v>
      </c>
      <c r="I335" s="12" t="s">
        <v>117</v>
      </c>
      <c r="J335" s="12" t="s">
        <v>118</v>
      </c>
      <c r="K335" s="12" t="s">
        <v>50</v>
      </c>
      <c r="L335" s="14" t="n">
        <v>9225917.83</v>
      </c>
      <c r="M335" s="12" t="s">
        <v>79</v>
      </c>
    </row>
    <row r="336" customFormat="false" ht="15" hidden="false" customHeight="false" outlineLevel="0" collapsed="false">
      <c r="C336" s="12" t="s">
        <v>6</v>
      </c>
      <c r="D336" s="13" t="n">
        <v>2601102</v>
      </c>
      <c r="E336" s="13" t="n">
        <v>2018</v>
      </c>
      <c r="F336" s="12" t="s">
        <v>65</v>
      </c>
      <c r="G336" s="12" t="s">
        <v>161</v>
      </c>
      <c r="H336" s="12" t="s">
        <v>47</v>
      </c>
      <c r="I336" s="12" t="s">
        <v>119</v>
      </c>
      <c r="J336" s="12" t="s">
        <v>120</v>
      </c>
      <c r="K336" s="12" t="s">
        <v>50</v>
      </c>
      <c r="L336" s="14" t="n">
        <v>144701823.68</v>
      </c>
      <c r="M336" s="12" t="s">
        <v>79</v>
      </c>
    </row>
    <row r="337" customFormat="false" ht="15" hidden="false" customHeight="false" outlineLevel="0" collapsed="false">
      <c r="C337" s="12" t="s">
        <v>6</v>
      </c>
      <c r="D337" s="13" t="n">
        <v>2601102</v>
      </c>
      <c r="E337" s="13" t="n">
        <v>2018</v>
      </c>
      <c r="F337" s="12" t="s">
        <v>68</v>
      </c>
      <c r="G337" s="12" t="s">
        <v>161</v>
      </c>
      <c r="H337" s="12" t="s">
        <v>47</v>
      </c>
      <c r="I337" s="12" t="s">
        <v>121</v>
      </c>
      <c r="J337" s="12" t="s">
        <v>122</v>
      </c>
      <c r="K337" s="12" t="s">
        <v>50</v>
      </c>
      <c r="L337" s="14" t="n">
        <v>5656018.13</v>
      </c>
      <c r="M337" s="12" t="s">
        <v>79</v>
      </c>
    </row>
    <row r="338" customFormat="false" ht="15" hidden="false" customHeight="false" outlineLevel="0" collapsed="false">
      <c r="C338" s="12" t="s">
        <v>6</v>
      </c>
      <c r="D338" s="13" t="n">
        <v>2601102</v>
      </c>
      <c r="E338" s="13" t="n">
        <v>2018</v>
      </c>
      <c r="F338" s="12" t="s">
        <v>71</v>
      </c>
      <c r="G338" s="12" t="s">
        <v>161</v>
      </c>
      <c r="H338" s="12" t="s">
        <v>47</v>
      </c>
      <c r="I338" s="12" t="s">
        <v>123</v>
      </c>
      <c r="J338" s="12" t="s">
        <v>124</v>
      </c>
      <c r="K338" s="12" t="s">
        <v>50</v>
      </c>
      <c r="L338" s="14" t="n">
        <v>76315089.81</v>
      </c>
      <c r="M338" s="12" t="s">
        <v>79</v>
      </c>
    </row>
    <row r="339" customFormat="false" ht="15" hidden="false" customHeight="false" outlineLevel="0" collapsed="false">
      <c r="C339" s="12" t="s">
        <v>6</v>
      </c>
      <c r="D339" s="13" t="n">
        <v>2601102</v>
      </c>
      <c r="E339" s="13" t="n">
        <v>2018</v>
      </c>
      <c r="F339" s="12" t="s">
        <v>71</v>
      </c>
      <c r="G339" s="12" t="s">
        <v>161</v>
      </c>
      <c r="H339" s="12" t="s">
        <v>47</v>
      </c>
      <c r="I339" s="12" t="s">
        <v>125</v>
      </c>
      <c r="J339" s="12" t="s">
        <v>126</v>
      </c>
      <c r="K339" s="12" t="s">
        <v>50</v>
      </c>
      <c r="L339" s="14" t="n">
        <v>20927646.69</v>
      </c>
      <c r="M339" s="12" t="s">
        <v>79</v>
      </c>
    </row>
    <row r="340" customFormat="false" ht="15" hidden="false" customHeight="false" outlineLevel="0" collapsed="false">
      <c r="C340" s="12" t="s">
        <v>6</v>
      </c>
      <c r="D340" s="13" t="n">
        <v>2601102</v>
      </c>
      <c r="E340" s="13" t="n">
        <v>2018</v>
      </c>
      <c r="F340" s="12" t="s">
        <v>74</v>
      </c>
      <c r="G340" s="12" t="s">
        <v>161</v>
      </c>
      <c r="H340" s="12" t="s">
        <v>47</v>
      </c>
      <c r="I340" s="12" t="s">
        <v>127</v>
      </c>
      <c r="J340" s="12" t="s">
        <v>128</v>
      </c>
      <c r="K340" s="12" t="s">
        <v>50</v>
      </c>
      <c r="L340" s="14" t="n">
        <v>5507599.84</v>
      </c>
      <c r="M340" s="12" t="s">
        <v>79</v>
      </c>
    </row>
    <row r="341" customFormat="false" ht="15" hidden="false" customHeight="false" outlineLevel="0" collapsed="false">
      <c r="C341" s="12" t="s">
        <v>6</v>
      </c>
      <c r="D341" s="13" t="n">
        <v>2601102</v>
      </c>
      <c r="E341" s="13" t="n">
        <v>2018</v>
      </c>
      <c r="F341" s="12" t="s">
        <v>74</v>
      </c>
      <c r="G341" s="12" t="s">
        <v>161</v>
      </c>
      <c r="H341" s="12" t="s">
        <v>47</v>
      </c>
      <c r="I341" s="12" t="s">
        <v>129</v>
      </c>
      <c r="J341" s="12" t="s">
        <v>130</v>
      </c>
      <c r="K341" s="12" t="s">
        <v>50</v>
      </c>
      <c r="L341" s="14" t="n">
        <v>148418.29</v>
      </c>
      <c r="M341" s="12" t="s">
        <v>79</v>
      </c>
    </row>
    <row r="342" customFormat="false" ht="15" hidden="false" customHeight="false" outlineLevel="0" collapsed="false">
      <c r="C342" s="12" t="s">
        <v>6</v>
      </c>
      <c r="D342" s="13" t="n">
        <v>2601102</v>
      </c>
      <c r="E342" s="13" t="n">
        <v>2018</v>
      </c>
      <c r="F342" s="12" t="s">
        <v>86</v>
      </c>
      <c r="G342" s="12" t="s">
        <v>161</v>
      </c>
      <c r="H342" s="12" t="s">
        <v>81</v>
      </c>
      <c r="I342" s="12" t="s">
        <v>55</v>
      </c>
      <c r="J342" s="12" t="s">
        <v>87</v>
      </c>
      <c r="K342" s="12" t="s">
        <v>57</v>
      </c>
      <c r="L342" s="14" t="n">
        <v>4847533.4</v>
      </c>
      <c r="M342" s="12" t="s">
        <v>83</v>
      </c>
    </row>
    <row r="343" customFormat="false" ht="15" hidden="false" customHeight="false" outlineLevel="0" collapsed="false">
      <c r="C343" s="12" t="s">
        <v>6</v>
      </c>
      <c r="D343" s="13" t="n">
        <v>2601102</v>
      </c>
      <c r="E343" s="13" t="n">
        <v>2018</v>
      </c>
      <c r="F343" s="12" t="s">
        <v>157</v>
      </c>
      <c r="G343" s="12" t="s">
        <v>161</v>
      </c>
      <c r="H343" s="12" t="s">
        <v>81</v>
      </c>
      <c r="I343" s="12" t="s">
        <v>55</v>
      </c>
      <c r="J343" s="12" t="s">
        <v>158</v>
      </c>
      <c r="K343" s="12" t="s">
        <v>57</v>
      </c>
      <c r="L343" s="14" t="n">
        <v>1308587.42</v>
      </c>
      <c r="M343" s="12" t="s">
        <v>83</v>
      </c>
    </row>
    <row r="344" customFormat="false" ht="15" hidden="false" customHeight="false" outlineLevel="0" collapsed="false">
      <c r="C344" s="12" t="s">
        <v>6</v>
      </c>
      <c r="D344" s="13" t="n">
        <v>2601102</v>
      </c>
      <c r="E344" s="13" t="n">
        <v>2018</v>
      </c>
      <c r="F344" s="12" t="s">
        <v>88</v>
      </c>
      <c r="G344" s="12" t="s">
        <v>161</v>
      </c>
      <c r="H344" s="12" t="s">
        <v>81</v>
      </c>
      <c r="I344" s="12" t="s">
        <v>55</v>
      </c>
      <c r="J344" s="12" t="s">
        <v>89</v>
      </c>
      <c r="K344" s="12" t="s">
        <v>57</v>
      </c>
      <c r="L344" s="14" t="n">
        <v>12235810.92</v>
      </c>
      <c r="M344" s="12" t="s">
        <v>83</v>
      </c>
    </row>
    <row r="345" customFormat="false" ht="15" hidden="false" customHeight="false" outlineLevel="0" collapsed="false">
      <c r="C345" s="12" t="s">
        <v>6</v>
      </c>
      <c r="D345" s="13" t="n">
        <v>2601102</v>
      </c>
      <c r="E345" s="13" t="n">
        <v>2018</v>
      </c>
      <c r="F345" s="12" t="s">
        <v>131</v>
      </c>
      <c r="G345" s="12" t="s">
        <v>161</v>
      </c>
      <c r="H345" s="12" t="s">
        <v>81</v>
      </c>
      <c r="I345" s="12" t="s">
        <v>55</v>
      </c>
      <c r="J345" s="12" t="s">
        <v>132</v>
      </c>
      <c r="K345" s="12" t="s">
        <v>57</v>
      </c>
      <c r="L345" s="14" t="n">
        <v>1400</v>
      </c>
      <c r="M345" s="12" t="s">
        <v>83</v>
      </c>
    </row>
    <row r="346" customFormat="false" ht="15" hidden="false" customHeight="false" outlineLevel="0" collapsed="false">
      <c r="C346" s="12" t="s">
        <v>6</v>
      </c>
      <c r="D346" s="13" t="n">
        <v>2601102</v>
      </c>
      <c r="E346" s="13" t="n">
        <v>2018</v>
      </c>
      <c r="F346" s="12" t="s">
        <v>90</v>
      </c>
      <c r="G346" s="12" t="s">
        <v>161</v>
      </c>
      <c r="H346" s="12" t="s">
        <v>81</v>
      </c>
      <c r="I346" s="12" t="s">
        <v>55</v>
      </c>
      <c r="J346" s="12" t="s">
        <v>91</v>
      </c>
      <c r="K346" s="12" t="s">
        <v>57</v>
      </c>
      <c r="L346" s="14" t="n">
        <v>4367659.18</v>
      </c>
      <c r="M346" s="12" t="s">
        <v>83</v>
      </c>
    </row>
    <row r="347" customFormat="false" ht="15" hidden="false" customHeight="false" outlineLevel="0" collapsed="false">
      <c r="C347" s="12" t="s">
        <v>6</v>
      </c>
      <c r="D347" s="13" t="n">
        <v>2601102</v>
      </c>
      <c r="E347" s="13" t="n">
        <v>2018</v>
      </c>
      <c r="F347" s="12" t="s">
        <v>92</v>
      </c>
      <c r="G347" s="12" t="s">
        <v>161</v>
      </c>
      <c r="H347" s="12" t="s">
        <v>81</v>
      </c>
      <c r="I347" s="12" t="s">
        <v>55</v>
      </c>
      <c r="J347" s="12" t="s">
        <v>93</v>
      </c>
      <c r="K347" s="12" t="s">
        <v>57</v>
      </c>
      <c r="L347" s="14" t="n">
        <v>14512494.81</v>
      </c>
      <c r="M347" s="12" t="s">
        <v>83</v>
      </c>
    </row>
    <row r="348" customFormat="false" ht="15" hidden="false" customHeight="false" outlineLevel="0" collapsed="false">
      <c r="C348" s="12" t="s">
        <v>6</v>
      </c>
      <c r="D348" s="13" t="n">
        <v>2601102</v>
      </c>
      <c r="E348" s="13" t="n">
        <v>2018</v>
      </c>
      <c r="F348" s="12" t="s">
        <v>94</v>
      </c>
      <c r="G348" s="12" t="s">
        <v>161</v>
      </c>
      <c r="H348" s="12" t="s">
        <v>81</v>
      </c>
      <c r="I348" s="12" t="s">
        <v>55</v>
      </c>
      <c r="J348" s="12" t="s">
        <v>95</v>
      </c>
      <c r="K348" s="12" t="s">
        <v>57</v>
      </c>
      <c r="L348" s="14" t="n">
        <v>38931432.63</v>
      </c>
      <c r="M348" s="12" t="s">
        <v>83</v>
      </c>
    </row>
    <row r="349" customFormat="false" ht="15" hidden="false" customHeight="false" outlineLevel="0" collapsed="false">
      <c r="C349" s="12" t="s">
        <v>6</v>
      </c>
      <c r="D349" s="13" t="n">
        <v>2601102</v>
      </c>
      <c r="E349" s="13" t="n">
        <v>2018</v>
      </c>
      <c r="F349" s="12" t="s">
        <v>98</v>
      </c>
      <c r="G349" s="12" t="s">
        <v>161</v>
      </c>
      <c r="H349" s="12" t="s">
        <v>81</v>
      </c>
      <c r="I349" s="12" t="s">
        <v>55</v>
      </c>
      <c r="J349" s="12" t="s">
        <v>99</v>
      </c>
      <c r="K349" s="12" t="s">
        <v>57</v>
      </c>
      <c r="L349" s="14" t="n">
        <v>64090907.27</v>
      </c>
      <c r="M349" s="12" t="s">
        <v>83</v>
      </c>
    </row>
    <row r="350" customFormat="false" ht="15" hidden="false" customHeight="false" outlineLevel="0" collapsed="false">
      <c r="C350" s="12" t="s">
        <v>6</v>
      </c>
      <c r="D350" s="13" t="n">
        <v>2601102</v>
      </c>
      <c r="E350" s="13" t="n">
        <v>2018</v>
      </c>
      <c r="F350" s="12" t="s">
        <v>100</v>
      </c>
      <c r="G350" s="12" t="s">
        <v>161</v>
      </c>
      <c r="H350" s="12" t="s">
        <v>81</v>
      </c>
      <c r="I350" s="12" t="s">
        <v>55</v>
      </c>
      <c r="J350" s="12" t="s">
        <v>101</v>
      </c>
      <c r="K350" s="12" t="s">
        <v>57</v>
      </c>
      <c r="L350" s="14" t="n">
        <v>3289901.66</v>
      </c>
      <c r="M350" s="12" t="s">
        <v>83</v>
      </c>
    </row>
    <row r="351" customFormat="false" ht="15" hidden="false" customHeight="false" outlineLevel="0" collapsed="false">
      <c r="C351" s="12" t="s">
        <v>6</v>
      </c>
      <c r="D351" s="13" t="n">
        <v>2601102</v>
      </c>
      <c r="E351" s="13" t="n">
        <v>2018</v>
      </c>
      <c r="F351" s="12" t="s">
        <v>102</v>
      </c>
      <c r="G351" s="12" t="s">
        <v>161</v>
      </c>
      <c r="H351" s="12" t="s">
        <v>81</v>
      </c>
      <c r="I351" s="12" t="s">
        <v>55</v>
      </c>
      <c r="J351" s="12" t="s">
        <v>103</v>
      </c>
      <c r="K351" s="12" t="s">
        <v>57</v>
      </c>
      <c r="L351" s="14" t="n">
        <v>12962377.54</v>
      </c>
      <c r="M351" s="12" t="s">
        <v>83</v>
      </c>
    </row>
    <row r="352" customFormat="false" ht="15" hidden="false" customHeight="false" outlineLevel="0" collapsed="false">
      <c r="C352" s="12" t="s">
        <v>6</v>
      </c>
      <c r="D352" s="13" t="n">
        <v>2601102</v>
      </c>
      <c r="E352" s="13" t="n">
        <v>2018</v>
      </c>
      <c r="F352" s="12" t="s">
        <v>104</v>
      </c>
      <c r="G352" s="12" t="s">
        <v>161</v>
      </c>
      <c r="H352" s="12" t="s">
        <v>81</v>
      </c>
      <c r="I352" s="12" t="s">
        <v>55</v>
      </c>
      <c r="J352" s="12" t="s">
        <v>105</v>
      </c>
      <c r="K352" s="12" t="s">
        <v>57</v>
      </c>
      <c r="L352" s="14" t="n">
        <v>1142388.3</v>
      </c>
      <c r="M352" s="12" t="s">
        <v>83</v>
      </c>
    </row>
    <row r="353" customFormat="false" ht="15" hidden="false" customHeight="false" outlineLevel="0" collapsed="false">
      <c r="C353" s="12" t="s">
        <v>6</v>
      </c>
      <c r="D353" s="13" t="n">
        <v>2601102</v>
      </c>
      <c r="E353" s="13" t="n">
        <v>2018</v>
      </c>
      <c r="F353" s="12" t="s">
        <v>106</v>
      </c>
      <c r="G353" s="12" t="s">
        <v>161</v>
      </c>
      <c r="H353" s="12" t="s">
        <v>81</v>
      </c>
      <c r="I353" s="12" t="s">
        <v>55</v>
      </c>
      <c r="J353" s="12" t="s">
        <v>107</v>
      </c>
      <c r="K353" s="12" t="s">
        <v>57</v>
      </c>
      <c r="L353" s="14" t="n">
        <v>762467.18</v>
      </c>
      <c r="M353" s="12" t="s">
        <v>83</v>
      </c>
    </row>
    <row r="354" customFormat="false" ht="15" hidden="false" customHeight="false" outlineLevel="0" collapsed="false">
      <c r="C354" s="12" t="s">
        <v>6</v>
      </c>
      <c r="D354" s="13" t="n">
        <v>2601102</v>
      </c>
      <c r="E354" s="13" t="n">
        <v>2018</v>
      </c>
      <c r="F354" s="12" t="s">
        <v>108</v>
      </c>
      <c r="G354" s="12" t="s">
        <v>161</v>
      </c>
      <c r="H354" s="12" t="s">
        <v>81</v>
      </c>
      <c r="I354" s="12" t="s">
        <v>55</v>
      </c>
      <c r="J354" s="12" t="s">
        <v>109</v>
      </c>
      <c r="K354" s="12" t="s">
        <v>57</v>
      </c>
      <c r="L354" s="14" t="n">
        <v>2179131.89</v>
      </c>
      <c r="M354" s="12" t="s">
        <v>83</v>
      </c>
    </row>
    <row r="355" customFormat="false" ht="15" hidden="false" customHeight="false" outlineLevel="0" collapsed="false">
      <c r="C355" s="12" t="s">
        <v>6</v>
      </c>
      <c r="D355" s="13" t="n">
        <v>2601102</v>
      </c>
      <c r="E355" s="13" t="n">
        <v>2018</v>
      </c>
      <c r="F355" s="12" t="s">
        <v>162</v>
      </c>
      <c r="G355" s="12" t="s">
        <v>161</v>
      </c>
      <c r="H355" s="12" t="s">
        <v>81</v>
      </c>
      <c r="I355" s="12" t="s">
        <v>55</v>
      </c>
      <c r="J355" s="12" t="s">
        <v>163</v>
      </c>
      <c r="K355" s="12" t="s">
        <v>57</v>
      </c>
      <c r="L355" s="14" t="n">
        <v>268258.54</v>
      </c>
      <c r="M355" s="12" t="s">
        <v>83</v>
      </c>
    </row>
    <row r="356" customFormat="false" ht="15" hidden="false" customHeight="false" outlineLevel="0" collapsed="false">
      <c r="C356" s="12" t="s">
        <v>6</v>
      </c>
      <c r="D356" s="13" t="n">
        <v>2601102</v>
      </c>
      <c r="E356" s="13" t="n">
        <v>2018</v>
      </c>
      <c r="F356" s="12" t="s">
        <v>112</v>
      </c>
      <c r="G356" s="12" t="s">
        <v>161</v>
      </c>
      <c r="H356" s="12" t="s">
        <v>81</v>
      </c>
      <c r="I356" s="12" t="s">
        <v>55</v>
      </c>
      <c r="J356" s="12" t="s">
        <v>113</v>
      </c>
      <c r="K356" s="12" t="s">
        <v>57</v>
      </c>
      <c r="L356" s="14" t="n">
        <v>1393581.3</v>
      </c>
      <c r="M356" s="12" t="s">
        <v>83</v>
      </c>
    </row>
    <row r="357" customFormat="false" ht="15" hidden="false" customHeight="false" outlineLevel="0" collapsed="false">
      <c r="C357" s="12" t="s">
        <v>6</v>
      </c>
      <c r="D357" s="13" t="n">
        <v>2601102</v>
      </c>
      <c r="E357" s="13" t="n">
        <v>2018</v>
      </c>
      <c r="F357" s="12" t="s">
        <v>137</v>
      </c>
      <c r="G357" s="12" t="s">
        <v>161</v>
      </c>
      <c r="H357" s="12" t="s">
        <v>81</v>
      </c>
      <c r="I357" s="12" t="s">
        <v>55</v>
      </c>
      <c r="J357" s="12" t="s">
        <v>138</v>
      </c>
      <c r="K357" s="12" t="s">
        <v>57</v>
      </c>
      <c r="L357" s="14" t="n">
        <v>367426.56</v>
      </c>
      <c r="M357" s="12" t="s">
        <v>83</v>
      </c>
    </row>
    <row r="358" customFormat="false" ht="15" hidden="false" customHeight="false" outlineLevel="0" collapsed="false">
      <c r="C358" s="12" t="s">
        <v>6</v>
      </c>
      <c r="D358" s="13" t="n">
        <v>2601102</v>
      </c>
      <c r="E358" s="13" t="n">
        <v>2018</v>
      </c>
      <c r="F358" s="12" t="s">
        <v>114</v>
      </c>
      <c r="G358" s="12" t="s">
        <v>161</v>
      </c>
      <c r="H358" s="12" t="s">
        <v>81</v>
      </c>
      <c r="I358" s="12" t="s">
        <v>55</v>
      </c>
      <c r="J358" s="12" t="s">
        <v>115</v>
      </c>
      <c r="K358" s="12" t="s">
        <v>57</v>
      </c>
      <c r="L358" s="14" t="n">
        <v>3554404.61</v>
      </c>
      <c r="M358" s="12" t="s">
        <v>83</v>
      </c>
    </row>
    <row r="359" customFormat="false" ht="15" hidden="false" customHeight="false" outlineLevel="0" collapsed="false">
      <c r="C359" s="12" t="s">
        <v>6</v>
      </c>
      <c r="D359" s="13" t="n">
        <v>2601102</v>
      </c>
      <c r="E359" s="13" t="n">
        <v>2019</v>
      </c>
      <c r="F359" s="12" t="s">
        <v>45</v>
      </c>
      <c r="G359" s="12" t="s">
        <v>164</v>
      </c>
      <c r="H359" s="12" t="s">
        <v>47</v>
      </c>
      <c r="I359" s="12" t="s">
        <v>48</v>
      </c>
      <c r="J359" s="12" t="s">
        <v>140</v>
      </c>
      <c r="K359" s="12" t="s">
        <v>50</v>
      </c>
      <c r="L359" s="14" t="n">
        <v>186226166.97</v>
      </c>
      <c r="M359" s="12" t="s">
        <v>79</v>
      </c>
    </row>
    <row r="360" customFormat="false" ht="15" hidden="false" customHeight="false" outlineLevel="0" collapsed="false">
      <c r="C360" s="12" t="s">
        <v>6</v>
      </c>
      <c r="D360" s="13" t="n">
        <v>2601102</v>
      </c>
      <c r="E360" s="13" t="n">
        <v>2019</v>
      </c>
      <c r="F360" s="12" t="s">
        <v>51</v>
      </c>
      <c r="G360" s="12" t="s">
        <v>164</v>
      </c>
      <c r="H360" s="12" t="s">
        <v>47</v>
      </c>
      <c r="I360" s="12" t="s">
        <v>48</v>
      </c>
      <c r="J360" s="12" t="s">
        <v>140</v>
      </c>
      <c r="K360" s="12" t="s">
        <v>52</v>
      </c>
      <c r="L360" s="14" t="n">
        <v>12642271.25</v>
      </c>
      <c r="M360" s="12" t="s">
        <v>79</v>
      </c>
    </row>
    <row r="361" customFormat="false" ht="15" hidden="false" customHeight="false" outlineLevel="0" collapsed="false">
      <c r="C361" s="12" t="s">
        <v>6</v>
      </c>
      <c r="D361" s="13" t="n">
        <v>2601102</v>
      </c>
      <c r="E361" s="13" t="n">
        <v>2019</v>
      </c>
      <c r="F361" s="12" t="s">
        <v>53</v>
      </c>
      <c r="G361" s="12" t="s">
        <v>164</v>
      </c>
      <c r="H361" s="12" t="s">
        <v>54</v>
      </c>
      <c r="I361" s="12" t="s">
        <v>55</v>
      </c>
      <c r="J361" s="12" t="s">
        <v>56</v>
      </c>
      <c r="K361" s="12" t="s">
        <v>57</v>
      </c>
      <c r="L361" s="14" t="n">
        <v>177169868.84</v>
      </c>
      <c r="M361" s="12" t="s">
        <v>79</v>
      </c>
    </row>
    <row r="362" customFormat="false" ht="15" hidden="false" customHeight="false" outlineLevel="0" collapsed="false">
      <c r="C362" s="12" t="s">
        <v>6</v>
      </c>
      <c r="D362" s="13" t="n">
        <v>2601102</v>
      </c>
      <c r="E362" s="13" t="n">
        <v>2019</v>
      </c>
      <c r="F362" s="12" t="s">
        <v>58</v>
      </c>
      <c r="G362" s="12" t="s">
        <v>164</v>
      </c>
      <c r="H362" s="12" t="s">
        <v>54</v>
      </c>
      <c r="I362" s="12" t="s">
        <v>55</v>
      </c>
      <c r="J362" s="12" t="s">
        <v>56</v>
      </c>
      <c r="K362" s="12" t="s">
        <v>59</v>
      </c>
      <c r="L362" s="14" t="n">
        <v>174981575.79</v>
      </c>
      <c r="M362" s="12" t="s">
        <v>79</v>
      </c>
    </row>
    <row r="363" customFormat="false" ht="15" hidden="false" customHeight="false" outlineLevel="0" collapsed="false">
      <c r="C363" s="12" t="s">
        <v>6</v>
      </c>
      <c r="D363" s="13" t="n">
        <v>2601102</v>
      </c>
      <c r="E363" s="13" t="n">
        <v>2019</v>
      </c>
      <c r="F363" s="12" t="s">
        <v>60</v>
      </c>
      <c r="G363" s="12" t="s">
        <v>164</v>
      </c>
      <c r="H363" s="12" t="s">
        <v>54</v>
      </c>
      <c r="I363" s="12" t="s">
        <v>55</v>
      </c>
      <c r="J363" s="12" t="s">
        <v>56</v>
      </c>
      <c r="K363" s="12" t="s">
        <v>61</v>
      </c>
      <c r="L363" s="14" t="n">
        <v>169197244.15</v>
      </c>
      <c r="M363" s="12" t="s">
        <v>79</v>
      </c>
    </row>
    <row r="364" customFormat="false" ht="15" hidden="false" customHeight="false" outlineLevel="0" collapsed="false">
      <c r="C364" s="12" t="s">
        <v>6</v>
      </c>
      <c r="D364" s="13" t="n">
        <v>2601102</v>
      </c>
      <c r="E364" s="13" t="n">
        <v>2019</v>
      </c>
      <c r="F364" s="12" t="s">
        <v>80</v>
      </c>
      <c r="G364" s="12" t="s">
        <v>164</v>
      </c>
      <c r="H364" s="12" t="s">
        <v>81</v>
      </c>
      <c r="I364" s="12" t="s">
        <v>55</v>
      </c>
      <c r="J364" s="12" t="s">
        <v>82</v>
      </c>
      <c r="K364" s="12" t="s">
        <v>57</v>
      </c>
      <c r="L364" s="14" t="n">
        <v>167198296.67</v>
      </c>
      <c r="M364" s="12" t="s">
        <v>83</v>
      </c>
    </row>
    <row r="365" customFormat="false" ht="15" hidden="false" customHeight="false" outlineLevel="0" collapsed="false">
      <c r="C365" s="12" t="s">
        <v>6</v>
      </c>
      <c r="D365" s="13" t="n">
        <v>2601102</v>
      </c>
      <c r="E365" s="13" t="n">
        <v>2019</v>
      </c>
      <c r="F365" s="12" t="s">
        <v>84</v>
      </c>
      <c r="G365" s="12" t="s">
        <v>164</v>
      </c>
      <c r="H365" s="12" t="s">
        <v>81</v>
      </c>
      <c r="I365" s="12" t="s">
        <v>55</v>
      </c>
      <c r="J365" s="12" t="s">
        <v>82</v>
      </c>
      <c r="K365" s="12" t="s">
        <v>59</v>
      </c>
      <c r="L365" s="14" t="n">
        <v>165010003.62</v>
      </c>
      <c r="M365" s="12" t="s">
        <v>83</v>
      </c>
    </row>
    <row r="366" customFormat="false" ht="15" hidden="false" customHeight="false" outlineLevel="0" collapsed="false">
      <c r="C366" s="12" t="s">
        <v>6</v>
      </c>
      <c r="D366" s="13" t="n">
        <v>2601102</v>
      </c>
      <c r="E366" s="13" t="n">
        <v>2019</v>
      </c>
      <c r="F366" s="12" t="s">
        <v>85</v>
      </c>
      <c r="G366" s="12" t="s">
        <v>164</v>
      </c>
      <c r="H366" s="12" t="s">
        <v>81</v>
      </c>
      <c r="I366" s="12" t="s">
        <v>55</v>
      </c>
      <c r="J366" s="12" t="s">
        <v>82</v>
      </c>
      <c r="K366" s="12" t="s">
        <v>61</v>
      </c>
      <c r="L366" s="14" t="n">
        <v>159418827.23</v>
      </c>
      <c r="M366" s="12" t="s">
        <v>83</v>
      </c>
    </row>
    <row r="367" customFormat="false" ht="15" hidden="false" customHeight="false" outlineLevel="0" collapsed="false">
      <c r="C367" s="12" t="s">
        <v>6</v>
      </c>
      <c r="D367" s="13" t="n">
        <v>2601102</v>
      </c>
      <c r="E367" s="13" t="n">
        <v>2019</v>
      </c>
      <c r="F367" s="12" t="s">
        <v>141</v>
      </c>
      <c r="G367" s="12" t="s">
        <v>164</v>
      </c>
      <c r="H367" s="12" t="s">
        <v>47</v>
      </c>
      <c r="I367" s="12" t="s">
        <v>142</v>
      </c>
      <c r="J367" s="12" t="s">
        <v>143</v>
      </c>
      <c r="K367" s="12" t="s">
        <v>50</v>
      </c>
      <c r="L367" s="14" t="n">
        <v>9461995.1</v>
      </c>
      <c r="M367" s="12" t="s">
        <v>79</v>
      </c>
    </row>
    <row r="368" customFormat="false" ht="15" hidden="false" customHeight="false" outlineLevel="0" collapsed="false">
      <c r="C368" s="12" t="s">
        <v>6</v>
      </c>
      <c r="D368" s="13" t="n">
        <v>2601102</v>
      </c>
      <c r="E368" s="13" t="n">
        <v>2019</v>
      </c>
      <c r="F368" s="12" t="s">
        <v>144</v>
      </c>
      <c r="G368" s="12" t="s">
        <v>164</v>
      </c>
      <c r="H368" s="12" t="s">
        <v>47</v>
      </c>
      <c r="I368" s="12" t="s">
        <v>145</v>
      </c>
      <c r="J368" s="12" t="s">
        <v>146</v>
      </c>
      <c r="K368" s="12" t="s">
        <v>50</v>
      </c>
      <c r="L368" s="14" t="n">
        <v>176764171.87</v>
      </c>
      <c r="M368" s="12" t="s">
        <v>79</v>
      </c>
    </row>
    <row r="369" customFormat="false" ht="15" hidden="false" customHeight="false" outlineLevel="0" collapsed="false">
      <c r="C369" s="12" t="s">
        <v>6</v>
      </c>
      <c r="D369" s="13" t="n">
        <v>2601102</v>
      </c>
      <c r="E369" s="13" t="n">
        <v>2019</v>
      </c>
      <c r="F369" s="12" t="s">
        <v>62</v>
      </c>
      <c r="G369" s="12" t="s">
        <v>164</v>
      </c>
      <c r="H369" s="12" t="s">
        <v>47</v>
      </c>
      <c r="I369" s="12" t="s">
        <v>117</v>
      </c>
      <c r="J369" s="12" t="s">
        <v>118</v>
      </c>
      <c r="K369" s="12" t="s">
        <v>50</v>
      </c>
      <c r="L369" s="14" t="n">
        <v>8764083.96</v>
      </c>
      <c r="M369" s="12" t="s">
        <v>79</v>
      </c>
    </row>
    <row r="370" customFormat="false" ht="15" hidden="false" customHeight="false" outlineLevel="0" collapsed="false">
      <c r="C370" s="12" t="s">
        <v>6</v>
      </c>
      <c r="D370" s="13" t="n">
        <v>2601102</v>
      </c>
      <c r="E370" s="13" t="n">
        <v>2019</v>
      </c>
      <c r="F370" s="12" t="s">
        <v>65</v>
      </c>
      <c r="G370" s="12" t="s">
        <v>164</v>
      </c>
      <c r="H370" s="12" t="s">
        <v>47</v>
      </c>
      <c r="I370" s="12" t="s">
        <v>119</v>
      </c>
      <c r="J370" s="12" t="s">
        <v>120</v>
      </c>
      <c r="K370" s="12" t="s">
        <v>50</v>
      </c>
      <c r="L370" s="14" t="n">
        <v>149560170.63</v>
      </c>
      <c r="M370" s="12" t="s">
        <v>79</v>
      </c>
    </row>
    <row r="371" customFormat="false" ht="15" hidden="false" customHeight="false" outlineLevel="0" collapsed="false">
      <c r="C371" s="12" t="s">
        <v>6</v>
      </c>
      <c r="D371" s="13" t="n">
        <v>2601102</v>
      </c>
      <c r="E371" s="13" t="n">
        <v>2019</v>
      </c>
      <c r="F371" s="12" t="s">
        <v>68</v>
      </c>
      <c r="G371" s="12" t="s">
        <v>164</v>
      </c>
      <c r="H371" s="12" t="s">
        <v>47</v>
      </c>
      <c r="I371" s="12" t="s">
        <v>121</v>
      </c>
      <c r="J371" s="12" t="s">
        <v>122</v>
      </c>
      <c r="K371" s="12" t="s">
        <v>50</v>
      </c>
      <c r="L371" s="14" t="n">
        <v>2860448.05</v>
      </c>
      <c r="M371" s="12" t="s">
        <v>79</v>
      </c>
    </row>
    <row r="372" customFormat="false" ht="15" hidden="false" customHeight="false" outlineLevel="0" collapsed="false">
      <c r="C372" s="12" t="s">
        <v>6</v>
      </c>
      <c r="D372" s="13" t="n">
        <v>2601102</v>
      </c>
      <c r="E372" s="13" t="n">
        <v>2019</v>
      </c>
      <c r="F372" s="12" t="s">
        <v>71</v>
      </c>
      <c r="G372" s="12" t="s">
        <v>164</v>
      </c>
      <c r="H372" s="12" t="s">
        <v>47</v>
      </c>
      <c r="I372" s="12" t="s">
        <v>123</v>
      </c>
      <c r="J372" s="12" t="s">
        <v>124</v>
      </c>
      <c r="K372" s="12" t="s">
        <v>50</v>
      </c>
      <c r="L372" s="14" t="n">
        <v>83015064.15</v>
      </c>
      <c r="M372" s="12" t="s">
        <v>79</v>
      </c>
    </row>
    <row r="373" customFormat="false" ht="15" hidden="false" customHeight="false" outlineLevel="0" collapsed="false">
      <c r="C373" s="12" t="s">
        <v>6</v>
      </c>
      <c r="D373" s="13" t="n">
        <v>2601102</v>
      </c>
      <c r="E373" s="13" t="n">
        <v>2019</v>
      </c>
      <c r="F373" s="12" t="s">
        <v>71</v>
      </c>
      <c r="G373" s="12" t="s">
        <v>164</v>
      </c>
      <c r="H373" s="12" t="s">
        <v>47</v>
      </c>
      <c r="I373" s="12" t="s">
        <v>125</v>
      </c>
      <c r="J373" s="12" t="s">
        <v>126</v>
      </c>
      <c r="K373" s="12" t="s">
        <v>50</v>
      </c>
      <c r="L373" s="14" t="n">
        <v>21829578.92</v>
      </c>
      <c r="M373" s="12" t="s">
        <v>79</v>
      </c>
    </row>
    <row r="374" customFormat="false" ht="15" hidden="false" customHeight="false" outlineLevel="0" collapsed="false">
      <c r="C374" s="12" t="s">
        <v>6</v>
      </c>
      <c r="D374" s="13" t="n">
        <v>2601102</v>
      </c>
      <c r="E374" s="13" t="n">
        <v>2019</v>
      </c>
      <c r="F374" s="12" t="s">
        <v>74</v>
      </c>
      <c r="G374" s="12" t="s">
        <v>164</v>
      </c>
      <c r="H374" s="12" t="s">
        <v>47</v>
      </c>
      <c r="I374" s="12" t="s">
        <v>127</v>
      </c>
      <c r="J374" s="12" t="s">
        <v>128</v>
      </c>
      <c r="K374" s="12" t="s">
        <v>50</v>
      </c>
      <c r="L374" s="14" t="n">
        <v>2860448.05</v>
      </c>
      <c r="M374" s="12" t="s">
        <v>79</v>
      </c>
    </row>
    <row r="375" customFormat="false" ht="15" hidden="false" customHeight="false" outlineLevel="0" collapsed="false">
      <c r="C375" s="12" t="s">
        <v>6</v>
      </c>
      <c r="D375" s="13" t="n">
        <v>2601102</v>
      </c>
      <c r="E375" s="13" t="n">
        <v>2019</v>
      </c>
      <c r="F375" s="12" t="s">
        <v>86</v>
      </c>
      <c r="G375" s="12" t="s">
        <v>164</v>
      </c>
      <c r="H375" s="12" t="s">
        <v>81</v>
      </c>
      <c r="I375" s="12" t="s">
        <v>55</v>
      </c>
      <c r="J375" s="12" t="s">
        <v>87</v>
      </c>
      <c r="K375" s="12" t="s">
        <v>57</v>
      </c>
      <c r="L375" s="14" t="n">
        <v>5112046.47</v>
      </c>
      <c r="M375" s="12" t="s">
        <v>83</v>
      </c>
    </row>
    <row r="376" customFormat="false" ht="15" hidden="false" customHeight="false" outlineLevel="0" collapsed="false">
      <c r="C376" s="12" t="s">
        <v>6</v>
      </c>
      <c r="D376" s="13" t="n">
        <v>2601102</v>
      </c>
      <c r="E376" s="13" t="n">
        <v>2019</v>
      </c>
      <c r="F376" s="12" t="s">
        <v>157</v>
      </c>
      <c r="G376" s="12" t="s">
        <v>164</v>
      </c>
      <c r="H376" s="12" t="s">
        <v>81</v>
      </c>
      <c r="I376" s="12" t="s">
        <v>55</v>
      </c>
      <c r="J376" s="12" t="s">
        <v>158</v>
      </c>
      <c r="K376" s="12" t="s">
        <v>57</v>
      </c>
      <c r="L376" s="14" t="n">
        <v>1111873.64</v>
      </c>
      <c r="M376" s="12" t="s">
        <v>83</v>
      </c>
    </row>
    <row r="377" customFormat="false" ht="15" hidden="false" customHeight="false" outlineLevel="0" collapsed="false">
      <c r="C377" s="12" t="s">
        <v>6</v>
      </c>
      <c r="D377" s="13" t="n">
        <v>2601102</v>
      </c>
      <c r="E377" s="13" t="n">
        <v>2019</v>
      </c>
      <c r="F377" s="12" t="s">
        <v>88</v>
      </c>
      <c r="G377" s="12" t="s">
        <v>164</v>
      </c>
      <c r="H377" s="12" t="s">
        <v>81</v>
      </c>
      <c r="I377" s="12" t="s">
        <v>55</v>
      </c>
      <c r="J377" s="12" t="s">
        <v>89</v>
      </c>
      <c r="K377" s="12" t="s">
        <v>57</v>
      </c>
      <c r="L377" s="14" t="n">
        <v>13077660.8</v>
      </c>
      <c r="M377" s="12" t="s">
        <v>83</v>
      </c>
    </row>
    <row r="378" customFormat="false" ht="15" hidden="false" customHeight="false" outlineLevel="0" collapsed="false">
      <c r="C378" s="12" t="s">
        <v>6</v>
      </c>
      <c r="D378" s="13" t="n">
        <v>2601102</v>
      </c>
      <c r="E378" s="13" t="n">
        <v>2019</v>
      </c>
      <c r="F378" s="12" t="s">
        <v>90</v>
      </c>
      <c r="G378" s="12" t="s">
        <v>164</v>
      </c>
      <c r="H378" s="12" t="s">
        <v>81</v>
      </c>
      <c r="I378" s="12" t="s">
        <v>55</v>
      </c>
      <c r="J378" s="12" t="s">
        <v>91</v>
      </c>
      <c r="K378" s="12" t="s">
        <v>57</v>
      </c>
      <c r="L378" s="14" t="n">
        <v>4579008.49</v>
      </c>
      <c r="M378" s="12" t="s">
        <v>83</v>
      </c>
    </row>
    <row r="379" customFormat="false" ht="15" hidden="false" customHeight="false" outlineLevel="0" collapsed="false">
      <c r="C379" s="12" t="s">
        <v>6</v>
      </c>
      <c r="D379" s="13" t="n">
        <v>2601102</v>
      </c>
      <c r="E379" s="13" t="n">
        <v>2019</v>
      </c>
      <c r="F379" s="12" t="s">
        <v>92</v>
      </c>
      <c r="G379" s="12" t="s">
        <v>164</v>
      </c>
      <c r="H379" s="12" t="s">
        <v>81</v>
      </c>
      <c r="I379" s="12" t="s">
        <v>55</v>
      </c>
      <c r="J379" s="12" t="s">
        <v>93</v>
      </c>
      <c r="K379" s="12" t="s">
        <v>57</v>
      </c>
      <c r="L379" s="14" t="n">
        <v>17830015.31</v>
      </c>
      <c r="M379" s="12" t="s">
        <v>83</v>
      </c>
    </row>
    <row r="380" customFormat="false" ht="15" hidden="false" customHeight="false" outlineLevel="0" collapsed="false">
      <c r="C380" s="12" t="s">
        <v>6</v>
      </c>
      <c r="D380" s="13" t="n">
        <v>2601102</v>
      </c>
      <c r="E380" s="13" t="n">
        <v>2019</v>
      </c>
      <c r="F380" s="12" t="s">
        <v>94</v>
      </c>
      <c r="G380" s="12" t="s">
        <v>164</v>
      </c>
      <c r="H380" s="12" t="s">
        <v>81</v>
      </c>
      <c r="I380" s="12" t="s">
        <v>55</v>
      </c>
      <c r="J380" s="12" t="s">
        <v>95</v>
      </c>
      <c r="K380" s="12" t="s">
        <v>57</v>
      </c>
      <c r="L380" s="14" t="n">
        <v>35046461.54</v>
      </c>
      <c r="M380" s="12" t="s">
        <v>83</v>
      </c>
    </row>
    <row r="381" customFormat="false" ht="15" hidden="false" customHeight="false" outlineLevel="0" collapsed="false">
      <c r="C381" s="12" t="s">
        <v>6</v>
      </c>
      <c r="D381" s="13" t="n">
        <v>2601102</v>
      </c>
      <c r="E381" s="13" t="n">
        <v>2019</v>
      </c>
      <c r="F381" s="12" t="s">
        <v>98</v>
      </c>
      <c r="G381" s="12" t="s">
        <v>164</v>
      </c>
      <c r="H381" s="12" t="s">
        <v>81</v>
      </c>
      <c r="I381" s="12" t="s">
        <v>55</v>
      </c>
      <c r="J381" s="12" t="s">
        <v>99</v>
      </c>
      <c r="K381" s="12" t="s">
        <v>57</v>
      </c>
      <c r="L381" s="14" t="n">
        <v>64921889.3</v>
      </c>
      <c r="M381" s="12" t="s">
        <v>83</v>
      </c>
    </row>
    <row r="382" customFormat="false" ht="15" hidden="false" customHeight="false" outlineLevel="0" collapsed="false">
      <c r="C382" s="12" t="s">
        <v>6</v>
      </c>
      <c r="D382" s="13" t="n">
        <v>2601102</v>
      </c>
      <c r="E382" s="13" t="n">
        <v>2019</v>
      </c>
      <c r="F382" s="12" t="s">
        <v>100</v>
      </c>
      <c r="G382" s="12" t="s">
        <v>164</v>
      </c>
      <c r="H382" s="12" t="s">
        <v>81</v>
      </c>
      <c r="I382" s="12" t="s">
        <v>55</v>
      </c>
      <c r="J382" s="12" t="s">
        <v>101</v>
      </c>
      <c r="K382" s="12" t="s">
        <v>57</v>
      </c>
      <c r="L382" s="14" t="n">
        <v>3700640.09</v>
      </c>
      <c r="M382" s="12" t="s">
        <v>83</v>
      </c>
    </row>
    <row r="383" customFormat="false" ht="15" hidden="false" customHeight="false" outlineLevel="0" collapsed="false">
      <c r="C383" s="12" t="s">
        <v>6</v>
      </c>
      <c r="D383" s="13" t="n">
        <v>2601102</v>
      </c>
      <c r="E383" s="13" t="n">
        <v>2019</v>
      </c>
      <c r="F383" s="12" t="s">
        <v>102</v>
      </c>
      <c r="G383" s="12" t="s">
        <v>164</v>
      </c>
      <c r="H383" s="12" t="s">
        <v>81</v>
      </c>
      <c r="I383" s="12" t="s">
        <v>55</v>
      </c>
      <c r="J383" s="12" t="s">
        <v>103</v>
      </c>
      <c r="K383" s="12" t="s">
        <v>57</v>
      </c>
      <c r="L383" s="14" t="n">
        <v>11626016.68</v>
      </c>
      <c r="M383" s="12" t="s">
        <v>83</v>
      </c>
    </row>
    <row r="384" customFormat="false" ht="15" hidden="false" customHeight="false" outlineLevel="0" collapsed="false">
      <c r="C384" s="12" t="s">
        <v>6</v>
      </c>
      <c r="D384" s="13" t="n">
        <v>2601102</v>
      </c>
      <c r="E384" s="13" t="n">
        <v>2019</v>
      </c>
      <c r="F384" s="12" t="s">
        <v>104</v>
      </c>
      <c r="G384" s="12" t="s">
        <v>164</v>
      </c>
      <c r="H384" s="12" t="s">
        <v>81</v>
      </c>
      <c r="I384" s="12" t="s">
        <v>55</v>
      </c>
      <c r="J384" s="12" t="s">
        <v>105</v>
      </c>
      <c r="K384" s="12" t="s">
        <v>57</v>
      </c>
      <c r="L384" s="14" t="n">
        <v>1370368.54</v>
      </c>
      <c r="M384" s="12" t="s">
        <v>83</v>
      </c>
    </row>
    <row r="385" customFormat="false" ht="15" hidden="false" customHeight="false" outlineLevel="0" collapsed="false">
      <c r="C385" s="12" t="s">
        <v>6</v>
      </c>
      <c r="D385" s="13" t="n">
        <v>2601102</v>
      </c>
      <c r="E385" s="13" t="n">
        <v>2019</v>
      </c>
      <c r="F385" s="12" t="s">
        <v>106</v>
      </c>
      <c r="G385" s="12" t="s">
        <v>164</v>
      </c>
      <c r="H385" s="12" t="s">
        <v>81</v>
      </c>
      <c r="I385" s="12" t="s">
        <v>55</v>
      </c>
      <c r="J385" s="12" t="s">
        <v>107</v>
      </c>
      <c r="K385" s="12" t="s">
        <v>57</v>
      </c>
      <c r="L385" s="14" t="n">
        <v>889925.01</v>
      </c>
      <c r="M385" s="12" t="s">
        <v>83</v>
      </c>
    </row>
    <row r="386" customFormat="false" ht="15" hidden="false" customHeight="false" outlineLevel="0" collapsed="false">
      <c r="C386" s="12" t="s">
        <v>6</v>
      </c>
      <c r="D386" s="13" t="n">
        <v>2601102</v>
      </c>
      <c r="E386" s="13" t="n">
        <v>2019</v>
      </c>
      <c r="F386" s="12" t="s">
        <v>108</v>
      </c>
      <c r="G386" s="12" t="s">
        <v>164</v>
      </c>
      <c r="H386" s="12" t="s">
        <v>81</v>
      </c>
      <c r="I386" s="12" t="s">
        <v>55</v>
      </c>
      <c r="J386" s="12" t="s">
        <v>109</v>
      </c>
      <c r="K386" s="12" t="s">
        <v>57</v>
      </c>
      <c r="L386" s="14" t="n">
        <v>2296134.32</v>
      </c>
      <c r="M386" s="12" t="s">
        <v>83</v>
      </c>
    </row>
    <row r="387" customFormat="false" ht="15" hidden="false" customHeight="false" outlineLevel="0" collapsed="false">
      <c r="C387" s="12" t="s">
        <v>6</v>
      </c>
      <c r="D387" s="13" t="n">
        <v>2601102</v>
      </c>
      <c r="E387" s="13" t="n">
        <v>2019</v>
      </c>
      <c r="F387" s="12" t="s">
        <v>110</v>
      </c>
      <c r="G387" s="12" t="s">
        <v>164</v>
      </c>
      <c r="H387" s="12" t="s">
        <v>81</v>
      </c>
      <c r="I387" s="12" t="s">
        <v>55</v>
      </c>
      <c r="J387" s="12" t="s">
        <v>111</v>
      </c>
      <c r="K387" s="12" t="s">
        <v>57</v>
      </c>
      <c r="L387" s="14" t="n">
        <v>40473.77</v>
      </c>
      <c r="M387" s="12" t="s">
        <v>83</v>
      </c>
    </row>
    <row r="388" customFormat="false" ht="15" hidden="false" customHeight="false" outlineLevel="0" collapsed="false">
      <c r="C388" s="12" t="s">
        <v>6</v>
      </c>
      <c r="D388" s="13" t="n">
        <v>2601102</v>
      </c>
      <c r="E388" s="13" t="n">
        <v>2019</v>
      </c>
      <c r="F388" s="12" t="s">
        <v>162</v>
      </c>
      <c r="G388" s="12" t="s">
        <v>164</v>
      </c>
      <c r="H388" s="12" t="s">
        <v>81</v>
      </c>
      <c r="I388" s="12" t="s">
        <v>55</v>
      </c>
      <c r="J388" s="12" t="s">
        <v>163</v>
      </c>
      <c r="K388" s="12" t="s">
        <v>57</v>
      </c>
      <c r="L388" s="14" t="n">
        <v>296659.36</v>
      </c>
      <c r="M388" s="12" t="s">
        <v>83</v>
      </c>
    </row>
    <row r="389" customFormat="false" ht="15" hidden="false" customHeight="false" outlineLevel="0" collapsed="false">
      <c r="C389" s="12" t="s">
        <v>6</v>
      </c>
      <c r="D389" s="13" t="n">
        <v>2601102</v>
      </c>
      <c r="E389" s="13" t="n">
        <v>2019</v>
      </c>
      <c r="F389" s="12" t="s">
        <v>112</v>
      </c>
      <c r="G389" s="12" t="s">
        <v>164</v>
      </c>
      <c r="H389" s="12" t="s">
        <v>81</v>
      </c>
      <c r="I389" s="12" t="s">
        <v>55</v>
      </c>
      <c r="J389" s="12" t="s">
        <v>113</v>
      </c>
      <c r="K389" s="12" t="s">
        <v>57</v>
      </c>
      <c r="L389" s="14" t="n">
        <v>1236841.61</v>
      </c>
      <c r="M389" s="12" t="s">
        <v>83</v>
      </c>
    </row>
    <row r="390" customFormat="false" ht="15" hidden="false" customHeight="false" outlineLevel="0" collapsed="false">
      <c r="C390" s="12" t="s">
        <v>6</v>
      </c>
      <c r="D390" s="13" t="n">
        <v>2601102</v>
      </c>
      <c r="E390" s="13" t="n">
        <v>2019</v>
      </c>
      <c r="F390" s="12" t="s">
        <v>137</v>
      </c>
      <c r="G390" s="12" t="s">
        <v>164</v>
      </c>
      <c r="H390" s="12" t="s">
        <v>81</v>
      </c>
      <c r="I390" s="12" t="s">
        <v>55</v>
      </c>
      <c r="J390" s="12" t="s">
        <v>138</v>
      </c>
      <c r="K390" s="12" t="s">
        <v>57</v>
      </c>
      <c r="L390" s="14" t="n">
        <v>485115.71</v>
      </c>
      <c r="M390" s="12" t="s">
        <v>83</v>
      </c>
    </row>
    <row r="391" customFormat="false" ht="15" hidden="false" customHeight="false" outlineLevel="0" collapsed="false">
      <c r="C391" s="12" t="s">
        <v>6</v>
      </c>
      <c r="D391" s="13" t="n">
        <v>2601102</v>
      </c>
      <c r="E391" s="13" t="n">
        <v>2019</v>
      </c>
      <c r="F391" s="12" t="s">
        <v>114</v>
      </c>
      <c r="G391" s="12" t="s">
        <v>164</v>
      </c>
      <c r="H391" s="12" t="s">
        <v>81</v>
      </c>
      <c r="I391" s="12" t="s">
        <v>55</v>
      </c>
      <c r="J391" s="12" t="s">
        <v>115</v>
      </c>
      <c r="K391" s="12" t="s">
        <v>57</v>
      </c>
      <c r="L391" s="14" t="n">
        <v>3577166.03</v>
      </c>
      <c r="M391" s="12" t="s">
        <v>83</v>
      </c>
    </row>
    <row r="392" customFormat="false" ht="15" hidden="false" customHeight="false" outlineLevel="0" collapsed="false">
      <c r="C392" s="12" t="s">
        <v>6</v>
      </c>
      <c r="D392" s="13" t="n">
        <v>2601102</v>
      </c>
      <c r="E392" s="13" t="n">
        <v>2020</v>
      </c>
      <c r="F392" s="12" t="s">
        <v>45</v>
      </c>
      <c r="G392" s="12" t="s">
        <v>165</v>
      </c>
      <c r="H392" s="12" t="s">
        <v>47</v>
      </c>
      <c r="I392" s="12" t="s">
        <v>48</v>
      </c>
      <c r="J392" s="12" t="s">
        <v>140</v>
      </c>
      <c r="K392" s="12" t="s">
        <v>50</v>
      </c>
      <c r="L392" s="14" t="n">
        <v>214229962.81</v>
      </c>
      <c r="M392" s="12" t="s">
        <v>79</v>
      </c>
    </row>
    <row r="393" customFormat="false" ht="15" hidden="false" customHeight="false" outlineLevel="0" collapsed="false">
      <c r="C393" s="12" t="s">
        <v>6</v>
      </c>
      <c r="D393" s="13" t="n">
        <v>2601102</v>
      </c>
      <c r="E393" s="13" t="n">
        <v>2020</v>
      </c>
      <c r="F393" s="12" t="s">
        <v>51</v>
      </c>
      <c r="G393" s="12" t="s">
        <v>165</v>
      </c>
      <c r="H393" s="12" t="s">
        <v>47</v>
      </c>
      <c r="I393" s="12" t="s">
        <v>48</v>
      </c>
      <c r="J393" s="12" t="s">
        <v>140</v>
      </c>
      <c r="K393" s="12" t="s">
        <v>52</v>
      </c>
      <c r="L393" s="14" t="n">
        <v>12257372.01</v>
      </c>
      <c r="M393" s="12" t="s">
        <v>79</v>
      </c>
    </row>
    <row r="394" customFormat="false" ht="15" hidden="false" customHeight="false" outlineLevel="0" collapsed="false">
      <c r="C394" s="12" t="s">
        <v>6</v>
      </c>
      <c r="D394" s="13" t="n">
        <v>2601102</v>
      </c>
      <c r="E394" s="13" t="n">
        <v>2020</v>
      </c>
      <c r="F394" s="12" t="s">
        <v>53</v>
      </c>
      <c r="G394" s="12" t="s">
        <v>165</v>
      </c>
      <c r="H394" s="12" t="s">
        <v>54</v>
      </c>
      <c r="I394" s="12" t="s">
        <v>55</v>
      </c>
      <c r="J394" s="12" t="s">
        <v>56</v>
      </c>
      <c r="K394" s="12" t="s">
        <v>57</v>
      </c>
      <c r="L394" s="14" t="n">
        <v>195968081.18</v>
      </c>
      <c r="M394" s="12" t="s">
        <v>79</v>
      </c>
    </row>
    <row r="395" customFormat="false" ht="15" hidden="false" customHeight="false" outlineLevel="0" collapsed="false">
      <c r="C395" s="12" t="s">
        <v>6</v>
      </c>
      <c r="D395" s="13" t="n">
        <v>2601102</v>
      </c>
      <c r="E395" s="13" t="n">
        <v>2020</v>
      </c>
      <c r="F395" s="12" t="s">
        <v>58</v>
      </c>
      <c r="G395" s="12" t="s">
        <v>165</v>
      </c>
      <c r="H395" s="12" t="s">
        <v>54</v>
      </c>
      <c r="I395" s="12" t="s">
        <v>55</v>
      </c>
      <c r="J395" s="12" t="s">
        <v>56</v>
      </c>
      <c r="K395" s="12" t="s">
        <v>59</v>
      </c>
      <c r="L395" s="14" t="n">
        <v>195841691.06</v>
      </c>
      <c r="M395" s="12" t="s">
        <v>79</v>
      </c>
    </row>
    <row r="396" customFormat="false" ht="15" hidden="false" customHeight="false" outlineLevel="0" collapsed="false">
      <c r="C396" s="12" t="s">
        <v>6</v>
      </c>
      <c r="D396" s="13" t="n">
        <v>2601102</v>
      </c>
      <c r="E396" s="13" t="n">
        <v>2020</v>
      </c>
      <c r="F396" s="12" t="s">
        <v>60</v>
      </c>
      <c r="G396" s="12" t="s">
        <v>165</v>
      </c>
      <c r="H396" s="12" t="s">
        <v>54</v>
      </c>
      <c r="I396" s="12" t="s">
        <v>55</v>
      </c>
      <c r="J396" s="12" t="s">
        <v>56</v>
      </c>
      <c r="K396" s="12" t="s">
        <v>61</v>
      </c>
      <c r="L396" s="14" t="n">
        <v>191113935.04</v>
      </c>
      <c r="M396" s="12" t="s">
        <v>79</v>
      </c>
    </row>
    <row r="397" customFormat="false" ht="15" hidden="false" customHeight="false" outlineLevel="0" collapsed="false">
      <c r="C397" s="12" t="s">
        <v>6</v>
      </c>
      <c r="D397" s="13" t="n">
        <v>2601102</v>
      </c>
      <c r="E397" s="13" t="n">
        <v>2020</v>
      </c>
      <c r="F397" s="12" t="s">
        <v>80</v>
      </c>
      <c r="G397" s="12" t="s">
        <v>165</v>
      </c>
      <c r="H397" s="12" t="s">
        <v>81</v>
      </c>
      <c r="I397" s="12" t="s">
        <v>55</v>
      </c>
      <c r="J397" s="12" t="s">
        <v>82</v>
      </c>
      <c r="K397" s="12" t="s">
        <v>57</v>
      </c>
      <c r="L397" s="14" t="n">
        <v>180497143.65</v>
      </c>
      <c r="M397" s="12" t="s">
        <v>83</v>
      </c>
    </row>
    <row r="398" customFormat="false" ht="15" hidden="false" customHeight="false" outlineLevel="0" collapsed="false">
      <c r="C398" s="12" t="s">
        <v>6</v>
      </c>
      <c r="D398" s="13" t="n">
        <v>2601102</v>
      </c>
      <c r="E398" s="13" t="n">
        <v>2020</v>
      </c>
      <c r="F398" s="12" t="s">
        <v>84</v>
      </c>
      <c r="G398" s="12" t="s">
        <v>165</v>
      </c>
      <c r="H398" s="12" t="s">
        <v>81</v>
      </c>
      <c r="I398" s="12" t="s">
        <v>55</v>
      </c>
      <c r="J398" s="12" t="s">
        <v>82</v>
      </c>
      <c r="K398" s="12" t="s">
        <v>59</v>
      </c>
      <c r="L398" s="14" t="n">
        <v>180370753.53</v>
      </c>
      <c r="M398" s="12" t="s">
        <v>83</v>
      </c>
    </row>
    <row r="399" customFormat="false" ht="15" hidden="false" customHeight="false" outlineLevel="0" collapsed="false">
      <c r="C399" s="12" t="s">
        <v>6</v>
      </c>
      <c r="D399" s="13" t="n">
        <v>2601102</v>
      </c>
      <c r="E399" s="13" t="n">
        <v>2020</v>
      </c>
      <c r="F399" s="12" t="s">
        <v>85</v>
      </c>
      <c r="G399" s="12" t="s">
        <v>165</v>
      </c>
      <c r="H399" s="12" t="s">
        <v>81</v>
      </c>
      <c r="I399" s="12" t="s">
        <v>55</v>
      </c>
      <c r="J399" s="12" t="s">
        <v>82</v>
      </c>
      <c r="K399" s="12" t="s">
        <v>61</v>
      </c>
      <c r="L399" s="14" t="n">
        <v>175754006.49</v>
      </c>
      <c r="M399" s="12" t="s">
        <v>83</v>
      </c>
    </row>
    <row r="400" customFormat="false" ht="15" hidden="false" customHeight="false" outlineLevel="0" collapsed="false">
      <c r="C400" s="12" t="s">
        <v>6</v>
      </c>
      <c r="D400" s="13" t="n">
        <v>2601102</v>
      </c>
      <c r="E400" s="13" t="n">
        <v>2020</v>
      </c>
      <c r="F400" s="12" t="s">
        <v>141</v>
      </c>
      <c r="G400" s="12" t="s">
        <v>165</v>
      </c>
      <c r="H400" s="12" t="s">
        <v>47</v>
      </c>
      <c r="I400" s="12" t="s">
        <v>142</v>
      </c>
      <c r="J400" s="12" t="s">
        <v>143</v>
      </c>
      <c r="K400" s="12" t="s">
        <v>50</v>
      </c>
      <c r="L400" s="14" t="n">
        <v>15507480.5</v>
      </c>
      <c r="M400" s="12" t="s">
        <v>79</v>
      </c>
    </row>
    <row r="401" customFormat="false" ht="15" hidden="false" customHeight="false" outlineLevel="0" collapsed="false">
      <c r="C401" s="12" t="s">
        <v>6</v>
      </c>
      <c r="D401" s="13" t="n">
        <v>2601102</v>
      </c>
      <c r="E401" s="13" t="n">
        <v>2020</v>
      </c>
      <c r="F401" s="12" t="s">
        <v>144</v>
      </c>
      <c r="G401" s="12" t="s">
        <v>165</v>
      </c>
      <c r="H401" s="12" t="s">
        <v>47</v>
      </c>
      <c r="I401" s="12" t="s">
        <v>145</v>
      </c>
      <c r="J401" s="12" t="s">
        <v>146</v>
      </c>
      <c r="K401" s="12" t="s">
        <v>50</v>
      </c>
      <c r="L401" s="14" t="n">
        <v>198722482.31</v>
      </c>
      <c r="M401" s="12" t="s">
        <v>79</v>
      </c>
    </row>
    <row r="402" customFormat="false" ht="15" hidden="false" customHeight="false" outlineLevel="0" collapsed="false">
      <c r="C402" s="12" t="s">
        <v>6</v>
      </c>
      <c r="D402" s="13" t="n">
        <v>2601102</v>
      </c>
      <c r="E402" s="13" t="n">
        <v>2020</v>
      </c>
      <c r="F402" s="12" t="s">
        <v>62</v>
      </c>
      <c r="G402" s="12" t="s">
        <v>165</v>
      </c>
      <c r="H402" s="12" t="s">
        <v>47</v>
      </c>
      <c r="I402" s="12" t="s">
        <v>117</v>
      </c>
      <c r="J402" s="12" t="s">
        <v>118</v>
      </c>
      <c r="K402" s="12" t="s">
        <v>50</v>
      </c>
      <c r="L402" s="14" t="n">
        <v>9688569.66</v>
      </c>
      <c r="M402" s="12" t="s">
        <v>79</v>
      </c>
    </row>
    <row r="403" customFormat="false" ht="15" hidden="false" customHeight="false" outlineLevel="0" collapsed="false">
      <c r="C403" s="12" t="s">
        <v>6</v>
      </c>
      <c r="D403" s="13" t="n">
        <v>2601102</v>
      </c>
      <c r="E403" s="13" t="n">
        <v>2020</v>
      </c>
      <c r="F403" s="12" t="s">
        <v>65</v>
      </c>
      <c r="G403" s="12" t="s">
        <v>165</v>
      </c>
      <c r="H403" s="12" t="s">
        <v>47</v>
      </c>
      <c r="I403" s="12" t="s">
        <v>119</v>
      </c>
      <c r="J403" s="12" t="s">
        <v>120</v>
      </c>
      <c r="K403" s="12" t="s">
        <v>50</v>
      </c>
      <c r="L403" s="14" t="n">
        <v>169988298.9</v>
      </c>
      <c r="M403" s="12" t="s">
        <v>79</v>
      </c>
    </row>
    <row r="404" customFormat="false" ht="15" hidden="false" customHeight="false" outlineLevel="0" collapsed="false">
      <c r="C404" s="12" t="s">
        <v>6</v>
      </c>
      <c r="D404" s="13" t="n">
        <v>2601102</v>
      </c>
      <c r="E404" s="13" t="n">
        <v>2020</v>
      </c>
      <c r="F404" s="12" t="s">
        <v>68</v>
      </c>
      <c r="G404" s="12" t="s">
        <v>165</v>
      </c>
      <c r="H404" s="12" t="s">
        <v>47</v>
      </c>
      <c r="I404" s="12" t="s">
        <v>121</v>
      </c>
      <c r="J404" s="12" t="s">
        <v>122</v>
      </c>
      <c r="K404" s="12" t="s">
        <v>50</v>
      </c>
      <c r="L404" s="14" t="n">
        <v>3559344.76</v>
      </c>
      <c r="M404" s="12" t="s">
        <v>79</v>
      </c>
    </row>
    <row r="405" customFormat="false" ht="15" hidden="false" customHeight="false" outlineLevel="0" collapsed="false">
      <c r="C405" s="12" t="s">
        <v>6</v>
      </c>
      <c r="D405" s="13" t="n">
        <v>2601102</v>
      </c>
      <c r="E405" s="13" t="n">
        <v>2020</v>
      </c>
      <c r="F405" s="12" t="s">
        <v>71</v>
      </c>
      <c r="G405" s="12" t="s">
        <v>165</v>
      </c>
      <c r="H405" s="12" t="s">
        <v>47</v>
      </c>
      <c r="I405" s="12" t="s">
        <v>123</v>
      </c>
      <c r="J405" s="12" t="s">
        <v>124</v>
      </c>
      <c r="K405" s="12" t="s">
        <v>50</v>
      </c>
      <c r="L405" s="14" t="n">
        <v>104959864.87</v>
      </c>
      <c r="M405" s="12" t="s">
        <v>79</v>
      </c>
    </row>
    <row r="406" customFormat="false" ht="15" hidden="false" customHeight="false" outlineLevel="0" collapsed="false">
      <c r="C406" s="12" t="s">
        <v>6</v>
      </c>
      <c r="D406" s="13" t="n">
        <v>2601102</v>
      </c>
      <c r="E406" s="13" t="n">
        <v>2020</v>
      </c>
      <c r="F406" s="12" t="s">
        <v>71</v>
      </c>
      <c r="G406" s="12" t="s">
        <v>165</v>
      </c>
      <c r="H406" s="12" t="s">
        <v>47</v>
      </c>
      <c r="I406" s="12" t="s">
        <v>125</v>
      </c>
      <c r="J406" s="12" t="s">
        <v>126</v>
      </c>
      <c r="K406" s="12" t="s">
        <v>50</v>
      </c>
      <c r="L406" s="14" t="n">
        <v>21584270.13</v>
      </c>
      <c r="M406" s="12" t="s">
        <v>79</v>
      </c>
    </row>
    <row r="407" customFormat="false" ht="15" hidden="false" customHeight="false" outlineLevel="0" collapsed="false">
      <c r="C407" s="12" t="s">
        <v>6</v>
      </c>
      <c r="D407" s="13" t="n">
        <v>2601102</v>
      </c>
      <c r="E407" s="13" t="n">
        <v>2020</v>
      </c>
      <c r="F407" s="12" t="s">
        <v>74</v>
      </c>
      <c r="G407" s="12" t="s">
        <v>165</v>
      </c>
      <c r="H407" s="12" t="s">
        <v>47</v>
      </c>
      <c r="I407" s="12" t="s">
        <v>127</v>
      </c>
      <c r="J407" s="12" t="s">
        <v>128</v>
      </c>
      <c r="K407" s="12" t="s">
        <v>50</v>
      </c>
      <c r="L407" s="14" t="n">
        <v>3559344.76</v>
      </c>
      <c r="M407" s="12" t="s">
        <v>79</v>
      </c>
    </row>
    <row r="408" customFormat="false" ht="15" hidden="false" customHeight="false" outlineLevel="0" collapsed="false">
      <c r="C408" s="12" t="s">
        <v>6</v>
      </c>
      <c r="D408" s="13" t="n">
        <v>2601102</v>
      </c>
      <c r="E408" s="13" t="n">
        <v>2020</v>
      </c>
      <c r="F408" s="12" t="s">
        <v>86</v>
      </c>
      <c r="G408" s="12" t="s">
        <v>165</v>
      </c>
      <c r="H408" s="12" t="s">
        <v>81</v>
      </c>
      <c r="I408" s="12" t="s">
        <v>55</v>
      </c>
      <c r="J408" s="12" t="s">
        <v>87</v>
      </c>
      <c r="K408" s="12" t="s">
        <v>57</v>
      </c>
      <c r="L408" s="14" t="n">
        <v>5373990.49</v>
      </c>
      <c r="M408" s="12" t="s">
        <v>83</v>
      </c>
    </row>
    <row r="409" customFormat="false" ht="15" hidden="false" customHeight="false" outlineLevel="0" collapsed="false">
      <c r="C409" s="12" t="s">
        <v>6</v>
      </c>
      <c r="D409" s="13" t="n">
        <v>2601102</v>
      </c>
      <c r="E409" s="13" t="n">
        <v>2020</v>
      </c>
      <c r="F409" s="12" t="s">
        <v>157</v>
      </c>
      <c r="G409" s="12" t="s">
        <v>165</v>
      </c>
      <c r="H409" s="12" t="s">
        <v>81</v>
      </c>
      <c r="I409" s="12" t="s">
        <v>55</v>
      </c>
      <c r="J409" s="12" t="s">
        <v>158</v>
      </c>
      <c r="K409" s="12" t="s">
        <v>57</v>
      </c>
      <c r="L409" s="14" t="n">
        <v>823772.92</v>
      </c>
      <c r="M409" s="12" t="s">
        <v>83</v>
      </c>
    </row>
    <row r="410" customFormat="false" ht="15" hidden="false" customHeight="false" outlineLevel="0" collapsed="false">
      <c r="C410" s="12" t="s">
        <v>6</v>
      </c>
      <c r="D410" s="13" t="n">
        <v>2601102</v>
      </c>
      <c r="E410" s="13" t="n">
        <v>2020</v>
      </c>
      <c r="F410" s="12" t="s">
        <v>88</v>
      </c>
      <c r="G410" s="12" t="s">
        <v>165</v>
      </c>
      <c r="H410" s="12" t="s">
        <v>81</v>
      </c>
      <c r="I410" s="12" t="s">
        <v>55</v>
      </c>
      <c r="J410" s="12" t="s">
        <v>89</v>
      </c>
      <c r="K410" s="12" t="s">
        <v>57</v>
      </c>
      <c r="L410" s="14" t="n">
        <v>13669332.23</v>
      </c>
      <c r="M410" s="12" t="s">
        <v>83</v>
      </c>
    </row>
    <row r="411" customFormat="false" ht="15" hidden="false" customHeight="false" outlineLevel="0" collapsed="false">
      <c r="C411" s="12" t="s">
        <v>6</v>
      </c>
      <c r="D411" s="13" t="n">
        <v>2601102</v>
      </c>
      <c r="E411" s="13" t="n">
        <v>2020</v>
      </c>
      <c r="F411" s="12" t="s">
        <v>90</v>
      </c>
      <c r="G411" s="12" t="s">
        <v>165</v>
      </c>
      <c r="H411" s="12" t="s">
        <v>81</v>
      </c>
      <c r="I411" s="12" t="s">
        <v>55</v>
      </c>
      <c r="J411" s="12" t="s">
        <v>91</v>
      </c>
      <c r="K411" s="12" t="s">
        <v>57</v>
      </c>
      <c r="L411" s="14" t="n">
        <v>4860882.7</v>
      </c>
      <c r="M411" s="12" t="s">
        <v>83</v>
      </c>
    </row>
    <row r="412" customFormat="false" ht="15" hidden="false" customHeight="false" outlineLevel="0" collapsed="false">
      <c r="C412" s="12" t="s">
        <v>6</v>
      </c>
      <c r="D412" s="13" t="n">
        <v>2601102</v>
      </c>
      <c r="E412" s="13" t="n">
        <v>2020</v>
      </c>
      <c r="F412" s="12" t="s">
        <v>92</v>
      </c>
      <c r="G412" s="12" t="s">
        <v>165</v>
      </c>
      <c r="H412" s="12" t="s">
        <v>81</v>
      </c>
      <c r="I412" s="12" t="s">
        <v>55</v>
      </c>
      <c r="J412" s="12" t="s">
        <v>93</v>
      </c>
      <c r="K412" s="12" t="s">
        <v>57</v>
      </c>
      <c r="L412" s="14" t="n">
        <v>19759885.55</v>
      </c>
      <c r="M412" s="12" t="s">
        <v>83</v>
      </c>
    </row>
    <row r="413" customFormat="false" ht="15" hidden="false" customHeight="false" outlineLevel="0" collapsed="false">
      <c r="C413" s="12" t="s">
        <v>6</v>
      </c>
      <c r="D413" s="13" t="n">
        <v>2601102</v>
      </c>
      <c r="E413" s="13" t="n">
        <v>2020</v>
      </c>
      <c r="F413" s="12" t="s">
        <v>94</v>
      </c>
      <c r="G413" s="12" t="s">
        <v>165</v>
      </c>
      <c r="H413" s="12" t="s">
        <v>81</v>
      </c>
      <c r="I413" s="12" t="s">
        <v>55</v>
      </c>
      <c r="J413" s="12" t="s">
        <v>95</v>
      </c>
      <c r="K413" s="12" t="s">
        <v>57</v>
      </c>
      <c r="L413" s="14" t="n">
        <v>49867881.84</v>
      </c>
      <c r="M413" s="12" t="s">
        <v>83</v>
      </c>
    </row>
    <row r="414" customFormat="false" ht="15" hidden="false" customHeight="false" outlineLevel="0" collapsed="false">
      <c r="C414" s="12" t="s">
        <v>6</v>
      </c>
      <c r="D414" s="13" t="n">
        <v>2601102</v>
      </c>
      <c r="E414" s="13" t="n">
        <v>2020</v>
      </c>
      <c r="F414" s="12" t="s">
        <v>98</v>
      </c>
      <c r="G414" s="12" t="s">
        <v>165</v>
      </c>
      <c r="H414" s="12" t="s">
        <v>81</v>
      </c>
      <c r="I414" s="12" t="s">
        <v>55</v>
      </c>
      <c r="J414" s="12" t="s">
        <v>99</v>
      </c>
      <c r="K414" s="12" t="s">
        <v>57</v>
      </c>
      <c r="L414" s="14" t="n">
        <v>53834972.27</v>
      </c>
      <c r="M414" s="12" t="s">
        <v>83</v>
      </c>
    </row>
    <row r="415" customFormat="false" ht="15" hidden="false" customHeight="false" outlineLevel="0" collapsed="false">
      <c r="C415" s="12" t="s">
        <v>6</v>
      </c>
      <c r="D415" s="13" t="n">
        <v>2601102</v>
      </c>
      <c r="E415" s="13" t="n">
        <v>2020</v>
      </c>
      <c r="F415" s="12" t="s">
        <v>100</v>
      </c>
      <c r="G415" s="12" t="s">
        <v>165</v>
      </c>
      <c r="H415" s="12" t="s">
        <v>81</v>
      </c>
      <c r="I415" s="12" t="s">
        <v>55</v>
      </c>
      <c r="J415" s="12" t="s">
        <v>101</v>
      </c>
      <c r="K415" s="12" t="s">
        <v>57</v>
      </c>
      <c r="L415" s="14" t="n">
        <v>1590605.3</v>
      </c>
      <c r="M415" s="12" t="s">
        <v>83</v>
      </c>
    </row>
    <row r="416" customFormat="false" ht="15" hidden="false" customHeight="false" outlineLevel="0" collapsed="false">
      <c r="C416" s="12" t="s">
        <v>6</v>
      </c>
      <c r="D416" s="13" t="n">
        <v>2601102</v>
      </c>
      <c r="E416" s="13" t="n">
        <v>2020</v>
      </c>
      <c r="F416" s="12" t="s">
        <v>102</v>
      </c>
      <c r="G416" s="12" t="s">
        <v>165</v>
      </c>
      <c r="H416" s="12" t="s">
        <v>81</v>
      </c>
      <c r="I416" s="12" t="s">
        <v>55</v>
      </c>
      <c r="J416" s="12" t="s">
        <v>103</v>
      </c>
      <c r="K416" s="12" t="s">
        <v>57</v>
      </c>
      <c r="L416" s="14" t="n">
        <v>20158015.77</v>
      </c>
      <c r="M416" s="12" t="s">
        <v>83</v>
      </c>
    </row>
    <row r="417" customFormat="false" ht="15" hidden="false" customHeight="false" outlineLevel="0" collapsed="false">
      <c r="C417" s="12" t="s">
        <v>6</v>
      </c>
      <c r="D417" s="13" t="n">
        <v>2601102</v>
      </c>
      <c r="E417" s="13" t="n">
        <v>2020</v>
      </c>
      <c r="F417" s="12" t="s">
        <v>104</v>
      </c>
      <c r="G417" s="12" t="s">
        <v>165</v>
      </c>
      <c r="H417" s="12" t="s">
        <v>81</v>
      </c>
      <c r="I417" s="12" t="s">
        <v>55</v>
      </c>
      <c r="J417" s="12" t="s">
        <v>105</v>
      </c>
      <c r="K417" s="12" t="s">
        <v>57</v>
      </c>
      <c r="L417" s="14" t="n">
        <v>1949250.51</v>
      </c>
      <c r="M417" s="12" t="s">
        <v>83</v>
      </c>
    </row>
    <row r="418" customFormat="false" ht="15" hidden="false" customHeight="false" outlineLevel="0" collapsed="false">
      <c r="C418" s="12" t="s">
        <v>6</v>
      </c>
      <c r="D418" s="13" t="n">
        <v>2601102</v>
      </c>
      <c r="E418" s="13" t="n">
        <v>2020</v>
      </c>
      <c r="F418" s="12" t="s">
        <v>106</v>
      </c>
      <c r="G418" s="12" t="s">
        <v>165</v>
      </c>
      <c r="H418" s="12" t="s">
        <v>81</v>
      </c>
      <c r="I418" s="12" t="s">
        <v>55</v>
      </c>
      <c r="J418" s="12" t="s">
        <v>107</v>
      </c>
      <c r="K418" s="12" t="s">
        <v>57</v>
      </c>
      <c r="L418" s="14" t="n">
        <v>951818.03</v>
      </c>
      <c r="M418" s="12" t="s">
        <v>83</v>
      </c>
    </row>
    <row r="419" customFormat="false" ht="15" hidden="false" customHeight="false" outlineLevel="0" collapsed="false">
      <c r="C419" s="12" t="s">
        <v>6</v>
      </c>
      <c r="D419" s="13" t="n">
        <v>2601102</v>
      </c>
      <c r="E419" s="13" t="n">
        <v>2020</v>
      </c>
      <c r="F419" s="12" t="s">
        <v>108</v>
      </c>
      <c r="G419" s="12" t="s">
        <v>165</v>
      </c>
      <c r="H419" s="12" t="s">
        <v>81</v>
      </c>
      <c r="I419" s="12" t="s">
        <v>55</v>
      </c>
      <c r="J419" s="12" t="s">
        <v>109</v>
      </c>
      <c r="K419" s="12" t="s">
        <v>57</v>
      </c>
      <c r="L419" s="14" t="n">
        <v>3050935.59</v>
      </c>
      <c r="M419" s="12" t="s">
        <v>83</v>
      </c>
    </row>
    <row r="420" customFormat="false" ht="15" hidden="false" customHeight="false" outlineLevel="0" collapsed="false">
      <c r="C420" s="12" t="s">
        <v>6</v>
      </c>
      <c r="D420" s="13" t="n">
        <v>2601102</v>
      </c>
      <c r="E420" s="13" t="n">
        <v>2020</v>
      </c>
      <c r="F420" s="12" t="s">
        <v>162</v>
      </c>
      <c r="G420" s="12" t="s">
        <v>165</v>
      </c>
      <c r="H420" s="12" t="s">
        <v>81</v>
      </c>
      <c r="I420" s="12" t="s">
        <v>55</v>
      </c>
      <c r="J420" s="12" t="s">
        <v>163</v>
      </c>
      <c r="K420" s="12" t="s">
        <v>57</v>
      </c>
      <c r="L420" s="14" t="n">
        <v>352252.34</v>
      </c>
      <c r="M420" s="12" t="s">
        <v>83</v>
      </c>
    </row>
    <row r="421" customFormat="false" ht="15" hidden="false" customHeight="false" outlineLevel="0" collapsed="false">
      <c r="C421" s="12" t="s">
        <v>6</v>
      </c>
      <c r="D421" s="13" t="n">
        <v>2601102</v>
      </c>
      <c r="E421" s="13" t="n">
        <v>2020</v>
      </c>
      <c r="F421" s="12" t="s">
        <v>112</v>
      </c>
      <c r="G421" s="12" t="s">
        <v>165</v>
      </c>
      <c r="H421" s="12" t="s">
        <v>81</v>
      </c>
      <c r="I421" s="12" t="s">
        <v>55</v>
      </c>
      <c r="J421" s="12" t="s">
        <v>113</v>
      </c>
      <c r="K421" s="12" t="s">
        <v>57</v>
      </c>
      <c r="L421" s="14" t="n">
        <v>520738.52</v>
      </c>
      <c r="M421" s="12" t="s">
        <v>83</v>
      </c>
    </row>
    <row r="422" customFormat="false" ht="15" hidden="false" customHeight="false" outlineLevel="0" collapsed="false">
      <c r="C422" s="12" t="s">
        <v>6</v>
      </c>
      <c r="D422" s="13" t="n">
        <v>2601102</v>
      </c>
      <c r="E422" s="13" t="n">
        <v>2020</v>
      </c>
      <c r="F422" s="12" t="s">
        <v>137</v>
      </c>
      <c r="G422" s="12" t="s">
        <v>165</v>
      </c>
      <c r="H422" s="12" t="s">
        <v>81</v>
      </c>
      <c r="I422" s="12" t="s">
        <v>55</v>
      </c>
      <c r="J422" s="12" t="s">
        <v>138</v>
      </c>
      <c r="K422" s="12" t="s">
        <v>57</v>
      </c>
      <c r="L422" s="14" t="n">
        <v>294607.45</v>
      </c>
      <c r="M422" s="12" t="s">
        <v>83</v>
      </c>
    </row>
    <row r="423" customFormat="false" ht="15" hidden="false" customHeight="false" outlineLevel="0" collapsed="false">
      <c r="C423" s="12" t="s">
        <v>6</v>
      </c>
      <c r="D423" s="13" t="n">
        <v>2601102</v>
      </c>
      <c r="E423" s="13" t="n">
        <v>2020</v>
      </c>
      <c r="F423" s="12" t="s">
        <v>114</v>
      </c>
      <c r="G423" s="12" t="s">
        <v>165</v>
      </c>
      <c r="H423" s="12" t="s">
        <v>81</v>
      </c>
      <c r="I423" s="12" t="s">
        <v>55</v>
      </c>
      <c r="J423" s="12" t="s">
        <v>115</v>
      </c>
      <c r="K423" s="12" t="s">
        <v>57</v>
      </c>
      <c r="L423" s="14" t="n">
        <v>3438202.14</v>
      </c>
      <c r="M423" s="12" t="s">
        <v>83</v>
      </c>
    </row>
    <row r="424" customFormat="false" ht="15" hidden="false" customHeight="false" outlineLevel="0" collapsed="false">
      <c r="C424" s="12" t="s">
        <v>6</v>
      </c>
      <c r="D424" s="13" t="n">
        <v>2601102</v>
      </c>
      <c r="E424" s="13" t="n">
        <v>2021</v>
      </c>
      <c r="F424" s="12" t="s">
        <v>45</v>
      </c>
      <c r="G424" s="12" t="s">
        <v>166</v>
      </c>
      <c r="H424" s="12" t="s">
        <v>47</v>
      </c>
      <c r="I424" s="12" t="s">
        <v>48</v>
      </c>
      <c r="J424" s="12" t="s">
        <v>140</v>
      </c>
      <c r="K424" s="12" t="s">
        <v>50</v>
      </c>
      <c r="L424" s="14" t="n">
        <v>233989483.43</v>
      </c>
      <c r="M424" s="12" t="s">
        <v>79</v>
      </c>
    </row>
    <row r="425" customFormat="false" ht="15" hidden="false" customHeight="false" outlineLevel="0" collapsed="false">
      <c r="C425" s="12" t="s">
        <v>6</v>
      </c>
      <c r="D425" s="13" t="n">
        <v>2601102</v>
      </c>
      <c r="E425" s="13" t="n">
        <v>2021</v>
      </c>
      <c r="F425" s="12" t="s">
        <v>51</v>
      </c>
      <c r="G425" s="12" t="s">
        <v>166</v>
      </c>
      <c r="H425" s="12" t="s">
        <v>47</v>
      </c>
      <c r="I425" s="12" t="s">
        <v>48</v>
      </c>
      <c r="J425" s="12" t="s">
        <v>140</v>
      </c>
      <c r="K425" s="12" t="s">
        <v>52</v>
      </c>
      <c r="L425" s="14" t="n">
        <v>15828698.36</v>
      </c>
      <c r="M425" s="12" t="s">
        <v>79</v>
      </c>
    </row>
    <row r="426" customFormat="false" ht="15" hidden="false" customHeight="false" outlineLevel="0" collapsed="false">
      <c r="C426" s="12" t="s">
        <v>6</v>
      </c>
      <c r="D426" s="13" t="n">
        <v>2601102</v>
      </c>
      <c r="E426" s="13" t="n">
        <v>2021</v>
      </c>
      <c r="F426" s="12" t="s">
        <v>150</v>
      </c>
      <c r="G426" s="12" t="s">
        <v>166</v>
      </c>
      <c r="H426" s="12" t="s">
        <v>47</v>
      </c>
      <c r="I426" s="12" t="s">
        <v>48</v>
      </c>
      <c r="J426" s="12" t="s">
        <v>140</v>
      </c>
      <c r="K426" s="12" t="s">
        <v>151</v>
      </c>
      <c r="L426" s="14" t="n">
        <v>323515.54</v>
      </c>
      <c r="M426" s="12" t="s">
        <v>79</v>
      </c>
    </row>
    <row r="427" customFormat="false" ht="15" hidden="false" customHeight="false" outlineLevel="0" collapsed="false">
      <c r="C427" s="12" t="s">
        <v>6</v>
      </c>
      <c r="D427" s="13" t="n">
        <v>2601102</v>
      </c>
      <c r="E427" s="13" t="n">
        <v>2021</v>
      </c>
      <c r="F427" s="12" t="s">
        <v>53</v>
      </c>
      <c r="G427" s="12" t="s">
        <v>166</v>
      </c>
      <c r="H427" s="12" t="s">
        <v>54</v>
      </c>
      <c r="I427" s="12" t="s">
        <v>55</v>
      </c>
      <c r="J427" s="12" t="s">
        <v>56</v>
      </c>
      <c r="K427" s="12" t="s">
        <v>57</v>
      </c>
      <c r="L427" s="14" t="n">
        <v>207998378.44</v>
      </c>
      <c r="M427" s="12" t="s">
        <v>79</v>
      </c>
    </row>
    <row r="428" customFormat="false" ht="15" hidden="false" customHeight="false" outlineLevel="0" collapsed="false">
      <c r="C428" s="12" t="s">
        <v>6</v>
      </c>
      <c r="D428" s="13" t="n">
        <v>2601102</v>
      </c>
      <c r="E428" s="13" t="n">
        <v>2021</v>
      </c>
      <c r="F428" s="12" t="s">
        <v>58</v>
      </c>
      <c r="G428" s="12" t="s">
        <v>166</v>
      </c>
      <c r="H428" s="12" t="s">
        <v>54</v>
      </c>
      <c r="I428" s="12" t="s">
        <v>55</v>
      </c>
      <c r="J428" s="12" t="s">
        <v>56</v>
      </c>
      <c r="K428" s="12" t="s">
        <v>59</v>
      </c>
      <c r="L428" s="14" t="n">
        <v>205339518.69</v>
      </c>
      <c r="M428" s="12" t="s">
        <v>79</v>
      </c>
    </row>
    <row r="429" customFormat="false" ht="15" hidden="false" customHeight="false" outlineLevel="0" collapsed="false">
      <c r="C429" s="12" t="s">
        <v>6</v>
      </c>
      <c r="D429" s="13" t="n">
        <v>2601102</v>
      </c>
      <c r="E429" s="13" t="n">
        <v>2021</v>
      </c>
      <c r="F429" s="12" t="s">
        <v>60</v>
      </c>
      <c r="G429" s="12" t="s">
        <v>166</v>
      </c>
      <c r="H429" s="12" t="s">
        <v>54</v>
      </c>
      <c r="I429" s="12" t="s">
        <v>55</v>
      </c>
      <c r="J429" s="12" t="s">
        <v>56</v>
      </c>
      <c r="K429" s="12" t="s">
        <v>61</v>
      </c>
      <c r="L429" s="14" t="n">
        <v>204037705.23</v>
      </c>
      <c r="M429" s="12" t="s">
        <v>79</v>
      </c>
    </row>
    <row r="430" customFormat="false" ht="15" hidden="false" customHeight="false" outlineLevel="0" collapsed="false">
      <c r="C430" s="12" t="s">
        <v>6</v>
      </c>
      <c r="D430" s="13" t="n">
        <v>2601102</v>
      </c>
      <c r="E430" s="13" t="n">
        <v>2021</v>
      </c>
      <c r="F430" s="12" t="s">
        <v>80</v>
      </c>
      <c r="G430" s="12" t="s">
        <v>166</v>
      </c>
      <c r="H430" s="12" t="s">
        <v>81</v>
      </c>
      <c r="I430" s="12" t="s">
        <v>55</v>
      </c>
      <c r="J430" s="12" t="s">
        <v>82</v>
      </c>
      <c r="K430" s="12" t="s">
        <v>57</v>
      </c>
      <c r="L430" s="14" t="n">
        <v>190611309.08</v>
      </c>
      <c r="M430" s="12" t="s">
        <v>83</v>
      </c>
    </row>
    <row r="431" customFormat="false" ht="15" hidden="false" customHeight="false" outlineLevel="0" collapsed="false">
      <c r="C431" s="12" t="s">
        <v>6</v>
      </c>
      <c r="D431" s="13" t="n">
        <v>2601102</v>
      </c>
      <c r="E431" s="13" t="n">
        <v>2021</v>
      </c>
      <c r="F431" s="12" t="s">
        <v>84</v>
      </c>
      <c r="G431" s="12" t="s">
        <v>166</v>
      </c>
      <c r="H431" s="12" t="s">
        <v>81</v>
      </c>
      <c r="I431" s="12" t="s">
        <v>55</v>
      </c>
      <c r="J431" s="12" t="s">
        <v>82</v>
      </c>
      <c r="K431" s="12" t="s">
        <v>59</v>
      </c>
      <c r="L431" s="14" t="n">
        <v>187952449.33</v>
      </c>
      <c r="M431" s="12" t="s">
        <v>83</v>
      </c>
    </row>
    <row r="432" customFormat="false" ht="15" hidden="false" customHeight="false" outlineLevel="0" collapsed="false">
      <c r="C432" s="12" t="s">
        <v>6</v>
      </c>
      <c r="D432" s="13" t="n">
        <v>2601102</v>
      </c>
      <c r="E432" s="13" t="n">
        <v>2021</v>
      </c>
      <c r="F432" s="12" t="s">
        <v>85</v>
      </c>
      <c r="G432" s="12" t="s">
        <v>166</v>
      </c>
      <c r="H432" s="12" t="s">
        <v>81</v>
      </c>
      <c r="I432" s="12" t="s">
        <v>55</v>
      </c>
      <c r="J432" s="12" t="s">
        <v>82</v>
      </c>
      <c r="K432" s="12" t="s">
        <v>61</v>
      </c>
      <c r="L432" s="14" t="n">
        <v>186917041.64</v>
      </c>
      <c r="M432" s="12" t="s">
        <v>83</v>
      </c>
    </row>
    <row r="433" customFormat="false" ht="15" hidden="false" customHeight="false" outlineLevel="0" collapsed="false">
      <c r="C433" s="12" t="s">
        <v>6</v>
      </c>
      <c r="D433" s="13" t="n">
        <v>2601102</v>
      </c>
      <c r="E433" s="13" t="n">
        <v>2021</v>
      </c>
      <c r="F433" s="12" t="s">
        <v>141</v>
      </c>
      <c r="G433" s="12" t="s">
        <v>166</v>
      </c>
      <c r="H433" s="12" t="s">
        <v>47</v>
      </c>
      <c r="I433" s="12" t="s">
        <v>142</v>
      </c>
      <c r="J433" s="12" t="s">
        <v>143</v>
      </c>
      <c r="K433" s="12" t="s">
        <v>50</v>
      </c>
      <c r="L433" s="14" t="n">
        <v>17141089.85</v>
      </c>
      <c r="M433" s="12" t="s">
        <v>79</v>
      </c>
    </row>
    <row r="434" customFormat="false" ht="15" hidden="false" customHeight="false" outlineLevel="0" collapsed="false">
      <c r="C434" s="12" t="s">
        <v>6</v>
      </c>
      <c r="D434" s="13" t="n">
        <v>2601102</v>
      </c>
      <c r="E434" s="13" t="n">
        <v>2021</v>
      </c>
      <c r="F434" s="12" t="s">
        <v>144</v>
      </c>
      <c r="G434" s="12" t="s">
        <v>166</v>
      </c>
      <c r="H434" s="12" t="s">
        <v>47</v>
      </c>
      <c r="I434" s="12" t="s">
        <v>145</v>
      </c>
      <c r="J434" s="12" t="s">
        <v>146</v>
      </c>
      <c r="K434" s="12" t="s">
        <v>50</v>
      </c>
      <c r="L434" s="14" t="n">
        <v>216848393.58</v>
      </c>
      <c r="M434" s="12" t="s">
        <v>79</v>
      </c>
    </row>
    <row r="435" customFormat="false" ht="15" hidden="false" customHeight="false" outlineLevel="0" collapsed="false">
      <c r="C435" s="12" t="s">
        <v>6</v>
      </c>
      <c r="D435" s="13" t="n">
        <v>2601102</v>
      </c>
      <c r="E435" s="13" t="n">
        <v>2021</v>
      </c>
      <c r="F435" s="12" t="s">
        <v>62</v>
      </c>
      <c r="G435" s="12" t="s">
        <v>166</v>
      </c>
      <c r="H435" s="12" t="s">
        <v>47</v>
      </c>
      <c r="I435" s="12" t="s">
        <v>117</v>
      </c>
      <c r="J435" s="12" t="s">
        <v>118</v>
      </c>
      <c r="K435" s="12" t="s">
        <v>50</v>
      </c>
      <c r="L435" s="14" t="n">
        <v>14460921.84</v>
      </c>
      <c r="M435" s="12" t="s">
        <v>79</v>
      </c>
    </row>
    <row r="436" customFormat="false" ht="15" hidden="false" customHeight="false" outlineLevel="0" collapsed="false">
      <c r="C436" s="12" t="s">
        <v>6</v>
      </c>
      <c r="D436" s="13" t="n">
        <v>2601102</v>
      </c>
      <c r="E436" s="13" t="n">
        <v>2021</v>
      </c>
      <c r="F436" s="12" t="s">
        <v>65</v>
      </c>
      <c r="G436" s="12" t="s">
        <v>166</v>
      </c>
      <c r="H436" s="12" t="s">
        <v>47</v>
      </c>
      <c r="I436" s="12" t="s">
        <v>119</v>
      </c>
      <c r="J436" s="12" t="s">
        <v>120</v>
      </c>
      <c r="K436" s="12" t="s">
        <v>50</v>
      </c>
      <c r="L436" s="14" t="n">
        <v>183600561.15</v>
      </c>
      <c r="M436" s="12" t="s">
        <v>79</v>
      </c>
    </row>
    <row r="437" customFormat="false" ht="15" hidden="false" customHeight="false" outlineLevel="0" collapsed="false">
      <c r="C437" s="12" t="s">
        <v>6</v>
      </c>
      <c r="D437" s="13" t="n">
        <v>2601102</v>
      </c>
      <c r="E437" s="13" t="n">
        <v>2021</v>
      </c>
      <c r="F437" s="12" t="s">
        <v>68</v>
      </c>
      <c r="G437" s="12" t="s">
        <v>166</v>
      </c>
      <c r="H437" s="12" t="s">
        <v>47</v>
      </c>
      <c r="I437" s="12" t="s">
        <v>121</v>
      </c>
      <c r="J437" s="12" t="s">
        <v>122</v>
      </c>
      <c r="K437" s="12" t="s">
        <v>50</v>
      </c>
      <c r="L437" s="14" t="n">
        <v>1764560.78</v>
      </c>
      <c r="M437" s="12" t="s">
        <v>79</v>
      </c>
    </row>
    <row r="438" customFormat="false" ht="15" hidden="false" customHeight="false" outlineLevel="0" collapsed="false">
      <c r="C438" s="12" t="s">
        <v>6</v>
      </c>
      <c r="D438" s="13" t="n">
        <v>2601102</v>
      </c>
      <c r="E438" s="13" t="n">
        <v>2021</v>
      </c>
      <c r="F438" s="12" t="s">
        <v>71</v>
      </c>
      <c r="G438" s="12" t="s">
        <v>166</v>
      </c>
      <c r="H438" s="12" t="s">
        <v>47</v>
      </c>
      <c r="I438" s="12" t="s">
        <v>123</v>
      </c>
      <c r="J438" s="12" t="s">
        <v>124</v>
      </c>
      <c r="K438" s="12" t="s">
        <v>50</v>
      </c>
      <c r="L438" s="14" t="n">
        <v>104685779.88</v>
      </c>
      <c r="M438" s="12" t="s">
        <v>79</v>
      </c>
    </row>
    <row r="439" customFormat="false" ht="15" hidden="false" customHeight="false" outlineLevel="0" collapsed="false">
      <c r="C439" s="12" t="s">
        <v>6</v>
      </c>
      <c r="D439" s="13" t="n">
        <v>2601102</v>
      </c>
      <c r="E439" s="13" t="n">
        <v>2021</v>
      </c>
      <c r="F439" s="12" t="s">
        <v>71</v>
      </c>
      <c r="G439" s="12" t="s">
        <v>166</v>
      </c>
      <c r="H439" s="12" t="s">
        <v>47</v>
      </c>
      <c r="I439" s="12" t="s">
        <v>125</v>
      </c>
      <c r="J439" s="12" t="s">
        <v>126</v>
      </c>
      <c r="K439" s="12" t="s">
        <v>50</v>
      </c>
      <c r="L439" s="14" t="n">
        <v>24710993.93</v>
      </c>
      <c r="M439" s="12" t="s">
        <v>79</v>
      </c>
    </row>
    <row r="440" customFormat="false" ht="15" hidden="false" customHeight="false" outlineLevel="0" collapsed="false">
      <c r="C440" s="12" t="s">
        <v>6</v>
      </c>
      <c r="D440" s="13" t="n">
        <v>2601102</v>
      </c>
      <c r="E440" s="13" t="n">
        <v>2021</v>
      </c>
      <c r="F440" s="12" t="s">
        <v>74</v>
      </c>
      <c r="G440" s="12" t="s">
        <v>166</v>
      </c>
      <c r="H440" s="12" t="s">
        <v>47</v>
      </c>
      <c r="I440" s="12" t="s">
        <v>127</v>
      </c>
      <c r="J440" s="12" t="s">
        <v>128</v>
      </c>
      <c r="K440" s="12" t="s">
        <v>50</v>
      </c>
      <c r="L440" s="14" t="n">
        <v>1580260.78</v>
      </c>
      <c r="M440" s="12" t="s">
        <v>79</v>
      </c>
    </row>
    <row r="441" customFormat="false" ht="15" hidden="false" customHeight="false" outlineLevel="0" collapsed="false">
      <c r="C441" s="12" t="s">
        <v>6</v>
      </c>
      <c r="D441" s="13" t="n">
        <v>2601102</v>
      </c>
      <c r="E441" s="13" t="n">
        <v>2021</v>
      </c>
      <c r="F441" s="12" t="s">
        <v>74</v>
      </c>
      <c r="G441" s="12" t="s">
        <v>166</v>
      </c>
      <c r="H441" s="12" t="s">
        <v>47</v>
      </c>
      <c r="I441" s="12" t="s">
        <v>129</v>
      </c>
      <c r="J441" s="12" t="s">
        <v>130</v>
      </c>
      <c r="K441" s="12" t="s">
        <v>50</v>
      </c>
      <c r="L441" s="14" t="n">
        <v>184300</v>
      </c>
      <c r="M441" s="12" t="s">
        <v>79</v>
      </c>
    </row>
    <row r="442" customFormat="false" ht="15" hidden="false" customHeight="false" outlineLevel="0" collapsed="false">
      <c r="C442" s="12" t="s">
        <v>6</v>
      </c>
      <c r="D442" s="13" t="n">
        <v>2601102</v>
      </c>
      <c r="E442" s="13" t="n">
        <v>2021</v>
      </c>
      <c r="F442" s="12" t="s">
        <v>86</v>
      </c>
      <c r="G442" s="12" t="s">
        <v>166</v>
      </c>
      <c r="H442" s="12" t="s">
        <v>81</v>
      </c>
      <c r="I442" s="12" t="s">
        <v>55</v>
      </c>
      <c r="J442" s="12" t="s">
        <v>87</v>
      </c>
      <c r="K442" s="12" t="s">
        <v>57</v>
      </c>
      <c r="L442" s="14" t="n">
        <v>5365849.19</v>
      </c>
      <c r="M442" s="12" t="s">
        <v>83</v>
      </c>
    </row>
    <row r="443" customFormat="false" ht="15" hidden="false" customHeight="false" outlineLevel="0" collapsed="false">
      <c r="C443" s="12" t="s">
        <v>6</v>
      </c>
      <c r="D443" s="13" t="n">
        <v>2601102</v>
      </c>
      <c r="E443" s="13" t="n">
        <v>2021</v>
      </c>
      <c r="F443" s="12" t="s">
        <v>157</v>
      </c>
      <c r="G443" s="12" t="s">
        <v>166</v>
      </c>
      <c r="H443" s="12" t="s">
        <v>81</v>
      </c>
      <c r="I443" s="12" t="s">
        <v>55</v>
      </c>
      <c r="J443" s="12" t="s">
        <v>158</v>
      </c>
      <c r="K443" s="12" t="s">
        <v>57</v>
      </c>
      <c r="L443" s="14" t="n">
        <v>1130040.91</v>
      </c>
      <c r="M443" s="12" t="s">
        <v>83</v>
      </c>
    </row>
    <row r="444" customFormat="false" ht="15" hidden="false" customHeight="false" outlineLevel="0" collapsed="false">
      <c r="C444" s="12" t="s">
        <v>6</v>
      </c>
      <c r="D444" s="13" t="n">
        <v>2601102</v>
      </c>
      <c r="E444" s="13" t="n">
        <v>2021</v>
      </c>
      <c r="F444" s="12" t="s">
        <v>88</v>
      </c>
      <c r="G444" s="12" t="s">
        <v>166</v>
      </c>
      <c r="H444" s="12" t="s">
        <v>81</v>
      </c>
      <c r="I444" s="12" t="s">
        <v>55</v>
      </c>
      <c r="J444" s="12" t="s">
        <v>89</v>
      </c>
      <c r="K444" s="12" t="s">
        <v>57</v>
      </c>
      <c r="L444" s="14" t="n">
        <v>15027990.11</v>
      </c>
      <c r="M444" s="12" t="s">
        <v>83</v>
      </c>
    </row>
    <row r="445" customFormat="false" ht="15" hidden="false" customHeight="false" outlineLevel="0" collapsed="false">
      <c r="C445" s="12" t="s">
        <v>6</v>
      </c>
      <c r="D445" s="13" t="n">
        <v>2601102</v>
      </c>
      <c r="E445" s="13" t="n">
        <v>2021</v>
      </c>
      <c r="F445" s="12" t="s">
        <v>90</v>
      </c>
      <c r="G445" s="12" t="s">
        <v>166</v>
      </c>
      <c r="H445" s="12" t="s">
        <v>81</v>
      </c>
      <c r="I445" s="12" t="s">
        <v>55</v>
      </c>
      <c r="J445" s="12" t="s">
        <v>91</v>
      </c>
      <c r="K445" s="12" t="s">
        <v>57</v>
      </c>
      <c r="L445" s="14" t="n">
        <v>3438654.31</v>
      </c>
      <c r="M445" s="12" t="s">
        <v>83</v>
      </c>
    </row>
    <row r="446" customFormat="false" ht="15" hidden="false" customHeight="false" outlineLevel="0" collapsed="false">
      <c r="C446" s="12" t="s">
        <v>6</v>
      </c>
      <c r="D446" s="13" t="n">
        <v>2601102</v>
      </c>
      <c r="E446" s="13" t="n">
        <v>2021</v>
      </c>
      <c r="F446" s="12" t="s">
        <v>92</v>
      </c>
      <c r="G446" s="12" t="s">
        <v>166</v>
      </c>
      <c r="H446" s="12" t="s">
        <v>81</v>
      </c>
      <c r="I446" s="12" t="s">
        <v>55</v>
      </c>
      <c r="J446" s="12" t="s">
        <v>93</v>
      </c>
      <c r="K446" s="12" t="s">
        <v>57</v>
      </c>
      <c r="L446" s="14" t="n">
        <v>21155283.16</v>
      </c>
      <c r="M446" s="12" t="s">
        <v>83</v>
      </c>
    </row>
    <row r="447" customFormat="false" ht="15" hidden="false" customHeight="false" outlineLevel="0" collapsed="false">
      <c r="C447" s="12" t="s">
        <v>6</v>
      </c>
      <c r="D447" s="13" t="n">
        <v>2601102</v>
      </c>
      <c r="E447" s="13" t="n">
        <v>2021</v>
      </c>
      <c r="F447" s="12" t="s">
        <v>94</v>
      </c>
      <c r="G447" s="12" t="s">
        <v>166</v>
      </c>
      <c r="H447" s="12" t="s">
        <v>81</v>
      </c>
      <c r="I447" s="12" t="s">
        <v>55</v>
      </c>
      <c r="J447" s="12" t="s">
        <v>95</v>
      </c>
      <c r="K447" s="12" t="s">
        <v>57</v>
      </c>
      <c r="L447" s="14" t="n">
        <v>40957252.69</v>
      </c>
      <c r="M447" s="12" t="s">
        <v>83</v>
      </c>
    </row>
    <row r="448" customFormat="false" ht="15" hidden="false" customHeight="false" outlineLevel="0" collapsed="false">
      <c r="C448" s="12" t="s">
        <v>6</v>
      </c>
      <c r="D448" s="13" t="n">
        <v>2601102</v>
      </c>
      <c r="E448" s="13" t="n">
        <v>2021</v>
      </c>
      <c r="F448" s="12" t="s">
        <v>98</v>
      </c>
      <c r="G448" s="12" t="s">
        <v>166</v>
      </c>
      <c r="H448" s="12" t="s">
        <v>81</v>
      </c>
      <c r="I448" s="12" t="s">
        <v>55</v>
      </c>
      <c r="J448" s="12" t="s">
        <v>99</v>
      </c>
      <c r="K448" s="12" t="s">
        <v>57</v>
      </c>
      <c r="L448" s="14" t="n">
        <v>70368430.15</v>
      </c>
      <c r="M448" s="12" t="s">
        <v>83</v>
      </c>
    </row>
    <row r="449" customFormat="false" ht="15" hidden="false" customHeight="false" outlineLevel="0" collapsed="false">
      <c r="C449" s="12" t="s">
        <v>6</v>
      </c>
      <c r="D449" s="13" t="n">
        <v>2601102</v>
      </c>
      <c r="E449" s="13" t="n">
        <v>2021</v>
      </c>
      <c r="F449" s="12" t="s">
        <v>100</v>
      </c>
      <c r="G449" s="12" t="s">
        <v>166</v>
      </c>
      <c r="H449" s="12" t="s">
        <v>81</v>
      </c>
      <c r="I449" s="12" t="s">
        <v>55</v>
      </c>
      <c r="J449" s="12" t="s">
        <v>101</v>
      </c>
      <c r="K449" s="12" t="s">
        <v>57</v>
      </c>
      <c r="L449" s="14" t="n">
        <v>1297168.59</v>
      </c>
      <c r="M449" s="12" t="s">
        <v>83</v>
      </c>
    </row>
    <row r="450" customFormat="false" ht="15" hidden="false" customHeight="false" outlineLevel="0" collapsed="false">
      <c r="C450" s="12" t="s">
        <v>6</v>
      </c>
      <c r="D450" s="13" t="n">
        <v>2601102</v>
      </c>
      <c r="E450" s="13" t="n">
        <v>2021</v>
      </c>
      <c r="F450" s="12" t="s">
        <v>102</v>
      </c>
      <c r="G450" s="12" t="s">
        <v>166</v>
      </c>
      <c r="H450" s="12" t="s">
        <v>81</v>
      </c>
      <c r="I450" s="12" t="s">
        <v>55</v>
      </c>
      <c r="J450" s="12" t="s">
        <v>103</v>
      </c>
      <c r="K450" s="12" t="s">
        <v>57</v>
      </c>
      <c r="L450" s="14" t="n">
        <v>17089069.77</v>
      </c>
      <c r="M450" s="12" t="s">
        <v>83</v>
      </c>
    </row>
    <row r="451" customFormat="false" ht="15" hidden="false" customHeight="false" outlineLevel="0" collapsed="false">
      <c r="C451" s="12" t="s">
        <v>6</v>
      </c>
      <c r="D451" s="13" t="n">
        <v>2601102</v>
      </c>
      <c r="E451" s="13" t="n">
        <v>2021</v>
      </c>
      <c r="F451" s="12" t="s">
        <v>104</v>
      </c>
      <c r="G451" s="12" t="s">
        <v>166</v>
      </c>
      <c r="H451" s="12" t="s">
        <v>81</v>
      </c>
      <c r="I451" s="12" t="s">
        <v>55</v>
      </c>
      <c r="J451" s="12" t="s">
        <v>105</v>
      </c>
      <c r="K451" s="12" t="s">
        <v>57</v>
      </c>
      <c r="L451" s="14" t="n">
        <v>2577825.96</v>
      </c>
      <c r="M451" s="12" t="s">
        <v>83</v>
      </c>
    </row>
    <row r="452" customFormat="false" ht="15" hidden="false" customHeight="false" outlineLevel="0" collapsed="false">
      <c r="C452" s="12" t="s">
        <v>6</v>
      </c>
      <c r="D452" s="13" t="n">
        <v>2601102</v>
      </c>
      <c r="E452" s="13" t="n">
        <v>2021</v>
      </c>
      <c r="F452" s="12" t="s">
        <v>106</v>
      </c>
      <c r="G452" s="12" t="s">
        <v>166</v>
      </c>
      <c r="H452" s="12" t="s">
        <v>81</v>
      </c>
      <c r="I452" s="12" t="s">
        <v>55</v>
      </c>
      <c r="J452" s="12" t="s">
        <v>107</v>
      </c>
      <c r="K452" s="12" t="s">
        <v>57</v>
      </c>
      <c r="L452" s="14" t="n">
        <v>990565.24</v>
      </c>
      <c r="M452" s="12" t="s">
        <v>83</v>
      </c>
    </row>
    <row r="453" customFormat="false" ht="15" hidden="false" customHeight="false" outlineLevel="0" collapsed="false">
      <c r="C453" s="12" t="s">
        <v>6</v>
      </c>
      <c r="D453" s="13" t="n">
        <v>2601102</v>
      </c>
      <c r="E453" s="13" t="n">
        <v>2021</v>
      </c>
      <c r="F453" s="12" t="s">
        <v>108</v>
      </c>
      <c r="G453" s="12" t="s">
        <v>166</v>
      </c>
      <c r="H453" s="12" t="s">
        <v>81</v>
      </c>
      <c r="I453" s="12" t="s">
        <v>55</v>
      </c>
      <c r="J453" s="12" t="s">
        <v>109</v>
      </c>
      <c r="K453" s="12" t="s">
        <v>57</v>
      </c>
      <c r="L453" s="14" t="n">
        <v>2466216.86</v>
      </c>
      <c r="M453" s="12" t="s">
        <v>83</v>
      </c>
    </row>
    <row r="454" customFormat="false" ht="15" hidden="false" customHeight="false" outlineLevel="0" collapsed="false">
      <c r="C454" s="12" t="s">
        <v>6</v>
      </c>
      <c r="D454" s="13" t="n">
        <v>2601102</v>
      </c>
      <c r="E454" s="13" t="n">
        <v>2021</v>
      </c>
      <c r="F454" s="12" t="s">
        <v>162</v>
      </c>
      <c r="G454" s="12" t="s">
        <v>166</v>
      </c>
      <c r="H454" s="12" t="s">
        <v>81</v>
      </c>
      <c r="I454" s="12" t="s">
        <v>55</v>
      </c>
      <c r="J454" s="12" t="s">
        <v>163</v>
      </c>
      <c r="K454" s="12" t="s">
        <v>57</v>
      </c>
      <c r="L454" s="14" t="n">
        <v>270626.62</v>
      </c>
      <c r="M454" s="12" t="s">
        <v>83</v>
      </c>
    </row>
    <row r="455" customFormat="false" ht="15" hidden="false" customHeight="false" outlineLevel="0" collapsed="false">
      <c r="C455" s="12" t="s">
        <v>6</v>
      </c>
      <c r="D455" s="13" t="n">
        <v>2601102</v>
      </c>
      <c r="E455" s="13" t="n">
        <v>2021</v>
      </c>
      <c r="F455" s="12" t="s">
        <v>112</v>
      </c>
      <c r="G455" s="12" t="s">
        <v>166</v>
      </c>
      <c r="H455" s="12" t="s">
        <v>81</v>
      </c>
      <c r="I455" s="12" t="s">
        <v>55</v>
      </c>
      <c r="J455" s="12" t="s">
        <v>113</v>
      </c>
      <c r="K455" s="12" t="s">
        <v>57</v>
      </c>
      <c r="L455" s="14" t="n">
        <v>643189.34</v>
      </c>
      <c r="M455" s="12" t="s">
        <v>83</v>
      </c>
    </row>
    <row r="456" customFormat="false" ht="15" hidden="false" customHeight="false" outlineLevel="0" collapsed="false">
      <c r="C456" s="12" t="s">
        <v>6</v>
      </c>
      <c r="D456" s="13" t="n">
        <v>2601102</v>
      </c>
      <c r="E456" s="13" t="n">
        <v>2021</v>
      </c>
      <c r="F456" s="12" t="s">
        <v>137</v>
      </c>
      <c r="G456" s="12" t="s">
        <v>166</v>
      </c>
      <c r="H456" s="12" t="s">
        <v>81</v>
      </c>
      <c r="I456" s="12" t="s">
        <v>55</v>
      </c>
      <c r="J456" s="12" t="s">
        <v>138</v>
      </c>
      <c r="K456" s="12" t="s">
        <v>57</v>
      </c>
      <c r="L456" s="14" t="n">
        <v>432928.43</v>
      </c>
      <c r="M456" s="12" t="s">
        <v>83</v>
      </c>
    </row>
    <row r="457" customFormat="false" ht="15" hidden="false" customHeight="false" outlineLevel="0" collapsed="false">
      <c r="C457" s="12" t="s">
        <v>6</v>
      </c>
      <c r="D457" s="13" t="n">
        <v>2601102</v>
      </c>
      <c r="E457" s="13" t="n">
        <v>2021</v>
      </c>
      <c r="F457" s="12" t="s">
        <v>114</v>
      </c>
      <c r="G457" s="12" t="s">
        <v>166</v>
      </c>
      <c r="H457" s="12" t="s">
        <v>81</v>
      </c>
      <c r="I457" s="12" t="s">
        <v>55</v>
      </c>
      <c r="J457" s="12" t="s">
        <v>115</v>
      </c>
      <c r="K457" s="12" t="s">
        <v>57</v>
      </c>
      <c r="L457" s="14" t="n">
        <v>7400217.75</v>
      </c>
      <c r="M457" s="12" t="s">
        <v>83</v>
      </c>
    </row>
    <row r="458" customFormat="false" ht="15" hidden="false" customHeight="false" outlineLevel="0" collapsed="false">
      <c r="C458" s="12" t="s">
        <v>6</v>
      </c>
      <c r="D458" s="13" t="n">
        <v>2601102</v>
      </c>
      <c r="E458" s="13" t="n">
        <v>2022</v>
      </c>
      <c r="F458" s="12" t="s">
        <v>45</v>
      </c>
      <c r="G458" s="12" t="s">
        <v>167</v>
      </c>
      <c r="H458" s="12" t="s">
        <v>47</v>
      </c>
      <c r="I458" s="12" t="s">
        <v>48</v>
      </c>
      <c r="J458" s="12" t="s">
        <v>140</v>
      </c>
      <c r="K458" s="12" t="s">
        <v>50</v>
      </c>
      <c r="L458" s="14" t="n">
        <v>291124781.78</v>
      </c>
      <c r="M458" s="12" t="s">
        <v>79</v>
      </c>
    </row>
    <row r="459" customFormat="false" ht="15" hidden="false" customHeight="false" outlineLevel="0" collapsed="false">
      <c r="C459" s="12" t="s">
        <v>6</v>
      </c>
      <c r="D459" s="13" t="n">
        <v>2601102</v>
      </c>
      <c r="E459" s="13" t="n">
        <v>2022</v>
      </c>
      <c r="F459" s="12" t="s">
        <v>51</v>
      </c>
      <c r="G459" s="12" t="s">
        <v>167</v>
      </c>
      <c r="H459" s="12" t="s">
        <v>47</v>
      </c>
      <c r="I459" s="12" t="s">
        <v>48</v>
      </c>
      <c r="J459" s="12" t="s">
        <v>140</v>
      </c>
      <c r="K459" s="12" t="s">
        <v>52</v>
      </c>
      <c r="L459" s="14" t="n">
        <v>18837812.19</v>
      </c>
      <c r="M459" s="12" t="s">
        <v>79</v>
      </c>
    </row>
    <row r="460" customFormat="false" ht="15" hidden="false" customHeight="false" outlineLevel="0" collapsed="false">
      <c r="C460" s="12" t="s">
        <v>6</v>
      </c>
      <c r="D460" s="13" t="n">
        <v>2601102</v>
      </c>
      <c r="E460" s="13" t="n">
        <v>2022</v>
      </c>
      <c r="F460" s="12" t="s">
        <v>53</v>
      </c>
      <c r="G460" s="12" t="s">
        <v>167</v>
      </c>
      <c r="H460" s="12" t="s">
        <v>54</v>
      </c>
      <c r="I460" s="12" t="s">
        <v>55</v>
      </c>
      <c r="J460" s="12" t="s">
        <v>56</v>
      </c>
      <c r="K460" s="12" t="s">
        <v>57</v>
      </c>
      <c r="L460" s="14" t="n">
        <v>267976817.63</v>
      </c>
      <c r="M460" s="12" t="s">
        <v>79</v>
      </c>
    </row>
    <row r="461" customFormat="false" ht="15" hidden="false" customHeight="false" outlineLevel="0" collapsed="false">
      <c r="C461" s="12" t="s">
        <v>6</v>
      </c>
      <c r="D461" s="13" t="n">
        <v>2601102</v>
      </c>
      <c r="E461" s="13" t="n">
        <v>2022</v>
      </c>
      <c r="F461" s="12" t="s">
        <v>58</v>
      </c>
      <c r="G461" s="12" t="s">
        <v>167</v>
      </c>
      <c r="H461" s="12" t="s">
        <v>54</v>
      </c>
      <c r="I461" s="12" t="s">
        <v>55</v>
      </c>
      <c r="J461" s="12" t="s">
        <v>56</v>
      </c>
      <c r="K461" s="12" t="s">
        <v>59</v>
      </c>
      <c r="L461" s="14" t="n">
        <v>267971017.63</v>
      </c>
      <c r="M461" s="12" t="s">
        <v>79</v>
      </c>
    </row>
    <row r="462" customFormat="false" ht="15" hidden="false" customHeight="false" outlineLevel="0" collapsed="false">
      <c r="C462" s="12" t="s">
        <v>6</v>
      </c>
      <c r="D462" s="13" t="n">
        <v>2601102</v>
      </c>
      <c r="E462" s="13" t="n">
        <v>2022</v>
      </c>
      <c r="F462" s="12" t="s">
        <v>60</v>
      </c>
      <c r="G462" s="12" t="s">
        <v>167</v>
      </c>
      <c r="H462" s="12" t="s">
        <v>54</v>
      </c>
      <c r="I462" s="12" t="s">
        <v>55</v>
      </c>
      <c r="J462" s="12" t="s">
        <v>56</v>
      </c>
      <c r="K462" s="12" t="s">
        <v>61</v>
      </c>
      <c r="L462" s="14" t="n">
        <v>264059316.06</v>
      </c>
      <c r="M462" s="12" t="s">
        <v>79</v>
      </c>
    </row>
    <row r="463" customFormat="false" ht="15" hidden="false" customHeight="false" outlineLevel="0" collapsed="false">
      <c r="C463" s="12" t="s">
        <v>6</v>
      </c>
      <c r="D463" s="13" t="n">
        <v>2601102</v>
      </c>
      <c r="E463" s="13" t="n">
        <v>2022</v>
      </c>
      <c r="F463" s="12" t="s">
        <v>80</v>
      </c>
      <c r="G463" s="12" t="s">
        <v>167</v>
      </c>
      <c r="H463" s="12" t="s">
        <v>81</v>
      </c>
      <c r="I463" s="12" t="s">
        <v>55</v>
      </c>
      <c r="J463" s="12" t="s">
        <v>82</v>
      </c>
      <c r="K463" s="12" t="s">
        <v>57</v>
      </c>
      <c r="L463" s="14" t="n">
        <v>251652325.66</v>
      </c>
      <c r="M463" s="12" t="s">
        <v>83</v>
      </c>
    </row>
    <row r="464" customFormat="false" ht="15" hidden="false" customHeight="false" outlineLevel="0" collapsed="false">
      <c r="C464" s="12" t="s">
        <v>6</v>
      </c>
      <c r="D464" s="13" t="n">
        <v>2601102</v>
      </c>
      <c r="E464" s="13" t="n">
        <v>2022</v>
      </c>
      <c r="F464" s="12" t="s">
        <v>84</v>
      </c>
      <c r="G464" s="12" t="s">
        <v>167</v>
      </c>
      <c r="H464" s="12" t="s">
        <v>81</v>
      </c>
      <c r="I464" s="12" t="s">
        <v>55</v>
      </c>
      <c r="J464" s="12" t="s">
        <v>82</v>
      </c>
      <c r="K464" s="12" t="s">
        <v>59</v>
      </c>
      <c r="L464" s="14" t="n">
        <v>251646525.66</v>
      </c>
      <c r="M464" s="12" t="s">
        <v>83</v>
      </c>
    </row>
    <row r="465" customFormat="false" ht="15" hidden="false" customHeight="false" outlineLevel="0" collapsed="false">
      <c r="C465" s="12" t="s">
        <v>6</v>
      </c>
      <c r="D465" s="13" t="n">
        <v>2601102</v>
      </c>
      <c r="E465" s="13" t="n">
        <v>2022</v>
      </c>
      <c r="F465" s="12" t="s">
        <v>85</v>
      </c>
      <c r="G465" s="12" t="s">
        <v>167</v>
      </c>
      <c r="H465" s="12" t="s">
        <v>81</v>
      </c>
      <c r="I465" s="12" t="s">
        <v>55</v>
      </c>
      <c r="J465" s="12" t="s">
        <v>82</v>
      </c>
      <c r="K465" s="12" t="s">
        <v>61</v>
      </c>
      <c r="L465" s="14" t="n">
        <v>248056598.07</v>
      </c>
      <c r="M465" s="12" t="s">
        <v>83</v>
      </c>
    </row>
    <row r="466" customFormat="false" ht="15" hidden="false" customHeight="false" outlineLevel="0" collapsed="false">
      <c r="C466" s="12" t="s">
        <v>6</v>
      </c>
      <c r="D466" s="13" t="n">
        <v>2601102</v>
      </c>
      <c r="E466" s="13" t="n">
        <v>2022</v>
      </c>
      <c r="F466" s="12" t="s">
        <v>141</v>
      </c>
      <c r="G466" s="12" t="s">
        <v>167</v>
      </c>
      <c r="H466" s="12" t="s">
        <v>47</v>
      </c>
      <c r="I466" s="12" t="s">
        <v>142</v>
      </c>
      <c r="J466" s="12" t="s">
        <v>143</v>
      </c>
      <c r="K466" s="12" t="s">
        <v>50</v>
      </c>
      <c r="L466" s="14" t="n">
        <v>16076418.18</v>
      </c>
      <c r="M466" s="12" t="s">
        <v>79</v>
      </c>
    </row>
    <row r="467" customFormat="false" ht="15" hidden="false" customHeight="false" outlineLevel="0" collapsed="false">
      <c r="C467" s="12" t="s">
        <v>6</v>
      </c>
      <c r="D467" s="13" t="n">
        <v>2601102</v>
      </c>
      <c r="E467" s="13" t="n">
        <v>2022</v>
      </c>
      <c r="F467" s="12" t="s">
        <v>144</v>
      </c>
      <c r="G467" s="12" t="s">
        <v>167</v>
      </c>
      <c r="H467" s="12" t="s">
        <v>47</v>
      </c>
      <c r="I467" s="12" t="s">
        <v>145</v>
      </c>
      <c r="J467" s="12" t="s">
        <v>146</v>
      </c>
      <c r="K467" s="12" t="s">
        <v>50</v>
      </c>
      <c r="L467" s="14" t="n">
        <v>275048363.6</v>
      </c>
      <c r="M467" s="12" t="s">
        <v>79</v>
      </c>
    </row>
    <row r="468" customFormat="false" ht="15" hidden="false" customHeight="false" outlineLevel="0" collapsed="false">
      <c r="C468" s="12" t="s">
        <v>6</v>
      </c>
      <c r="D468" s="13" t="n">
        <v>2601102</v>
      </c>
      <c r="E468" s="13" t="n">
        <v>2022</v>
      </c>
      <c r="F468" s="12" t="s">
        <v>62</v>
      </c>
      <c r="G468" s="12" t="s">
        <v>167</v>
      </c>
      <c r="H468" s="12" t="s">
        <v>47</v>
      </c>
      <c r="I468" s="12" t="s">
        <v>117</v>
      </c>
      <c r="J468" s="12" t="s">
        <v>118</v>
      </c>
      <c r="K468" s="12" t="s">
        <v>50</v>
      </c>
      <c r="L468" s="14" t="n">
        <v>17317435.6</v>
      </c>
      <c r="M468" s="12" t="s">
        <v>79</v>
      </c>
    </row>
    <row r="469" customFormat="false" ht="15" hidden="false" customHeight="false" outlineLevel="0" collapsed="false">
      <c r="C469" s="12" t="s">
        <v>6</v>
      </c>
      <c r="D469" s="13" t="n">
        <v>2601102</v>
      </c>
      <c r="E469" s="13" t="n">
        <v>2022</v>
      </c>
      <c r="F469" s="12" t="s">
        <v>65</v>
      </c>
      <c r="G469" s="12" t="s">
        <v>167</v>
      </c>
      <c r="H469" s="12" t="s">
        <v>47</v>
      </c>
      <c r="I469" s="12" t="s">
        <v>119</v>
      </c>
      <c r="J469" s="12" t="s">
        <v>120</v>
      </c>
      <c r="K469" s="12" t="s">
        <v>50</v>
      </c>
      <c r="L469" s="14" t="n">
        <v>235986870.97</v>
      </c>
      <c r="M469" s="12" t="s">
        <v>79</v>
      </c>
    </row>
    <row r="470" customFormat="false" ht="15" hidden="false" customHeight="false" outlineLevel="0" collapsed="false">
      <c r="C470" s="12" t="s">
        <v>6</v>
      </c>
      <c r="D470" s="13" t="n">
        <v>2601102</v>
      </c>
      <c r="E470" s="13" t="n">
        <v>2022</v>
      </c>
      <c r="F470" s="12" t="s">
        <v>68</v>
      </c>
      <c r="G470" s="12" t="s">
        <v>167</v>
      </c>
      <c r="H470" s="12" t="s">
        <v>47</v>
      </c>
      <c r="I470" s="12" t="s">
        <v>121</v>
      </c>
      <c r="J470" s="12" t="s">
        <v>122</v>
      </c>
      <c r="K470" s="12" t="s">
        <v>50</v>
      </c>
      <c r="L470" s="14" t="n">
        <v>46500.01</v>
      </c>
      <c r="M470" s="12" t="s">
        <v>79</v>
      </c>
    </row>
    <row r="471" customFormat="false" ht="15" hidden="false" customHeight="false" outlineLevel="0" collapsed="false">
      <c r="C471" s="12" t="s">
        <v>6</v>
      </c>
      <c r="D471" s="13" t="n">
        <v>2601102</v>
      </c>
      <c r="E471" s="13" t="n">
        <v>2022</v>
      </c>
      <c r="F471" s="12" t="s">
        <v>71</v>
      </c>
      <c r="G471" s="12" t="s">
        <v>167</v>
      </c>
      <c r="H471" s="12" t="s">
        <v>47</v>
      </c>
      <c r="I471" s="12" t="s">
        <v>123</v>
      </c>
      <c r="J471" s="12" t="s">
        <v>124</v>
      </c>
      <c r="K471" s="12" t="s">
        <v>50</v>
      </c>
      <c r="L471" s="14" t="n">
        <v>147629785.55</v>
      </c>
      <c r="M471" s="12" t="s">
        <v>79</v>
      </c>
    </row>
    <row r="472" customFormat="false" ht="15" hidden="false" customHeight="false" outlineLevel="0" collapsed="false">
      <c r="C472" s="12" t="s">
        <v>6</v>
      </c>
      <c r="D472" s="13" t="n">
        <v>2601102</v>
      </c>
      <c r="E472" s="13" t="n">
        <v>2022</v>
      </c>
      <c r="F472" s="12" t="s">
        <v>71</v>
      </c>
      <c r="G472" s="12" t="s">
        <v>167</v>
      </c>
      <c r="H472" s="12" t="s">
        <v>47</v>
      </c>
      <c r="I472" s="12" t="s">
        <v>125</v>
      </c>
      <c r="J472" s="12" t="s">
        <v>126</v>
      </c>
      <c r="K472" s="12" t="s">
        <v>50</v>
      </c>
      <c r="L472" s="14" t="n">
        <v>27960706.02</v>
      </c>
      <c r="M472" s="12" t="s">
        <v>79</v>
      </c>
    </row>
    <row r="473" customFormat="false" ht="15" hidden="false" customHeight="false" outlineLevel="0" collapsed="false">
      <c r="C473" s="12" t="s">
        <v>6</v>
      </c>
      <c r="D473" s="13" t="n">
        <v>2601102</v>
      </c>
      <c r="E473" s="13" t="n">
        <v>2022</v>
      </c>
      <c r="F473" s="12" t="s">
        <v>74</v>
      </c>
      <c r="G473" s="12" t="s">
        <v>167</v>
      </c>
      <c r="H473" s="12" t="s">
        <v>47</v>
      </c>
      <c r="I473" s="12" t="s">
        <v>127</v>
      </c>
      <c r="J473" s="12" t="s">
        <v>128</v>
      </c>
      <c r="K473" s="12" t="s">
        <v>50</v>
      </c>
      <c r="L473" s="14" t="n">
        <v>46500.01</v>
      </c>
      <c r="M473" s="12" t="s">
        <v>79</v>
      </c>
    </row>
    <row r="474" customFormat="false" ht="15" hidden="false" customHeight="false" outlineLevel="0" collapsed="false">
      <c r="C474" s="12" t="s">
        <v>6</v>
      </c>
      <c r="D474" s="13" t="n">
        <v>2601102</v>
      </c>
      <c r="E474" s="13" t="n">
        <v>2022</v>
      </c>
      <c r="F474" s="12" t="s">
        <v>86</v>
      </c>
      <c r="G474" s="12" t="s">
        <v>167</v>
      </c>
      <c r="H474" s="12" t="s">
        <v>81</v>
      </c>
      <c r="I474" s="12" t="s">
        <v>55</v>
      </c>
      <c r="J474" s="12" t="s">
        <v>87</v>
      </c>
      <c r="K474" s="12" t="s">
        <v>57</v>
      </c>
      <c r="L474" s="14" t="n">
        <v>5876084.24</v>
      </c>
      <c r="M474" s="12" t="s">
        <v>83</v>
      </c>
    </row>
    <row r="475" customFormat="false" ht="15" hidden="false" customHeight="false" outlineLevel="0" collapsed="false">
      <c r="C475" s="12" t="s">
        <v>6</v>
      </c>
      <c r="D475" s="13" t="n">
        <v>2601102</v>
      </c>
      <c r="E475" s="13" t="n">
        <v>2022</v>
      </c>
      <c r="F475" s="12" t="s">
        <v>157</v>
      </c>
      <c r="G475" s="12" t="s">
        <v>167</v>
      </c>
      <c r="H475" s="12" t="s">
        <v>81</v>
      </c>
      <c r="I475" s="12" t="s">
        <v>55</v>
      </c>
      <c r="J475" s="12" t="s">
        <v>158</v>
      </c>
      <c r="K475" s="12" t="s">
        <v>57</v>
      </c>
      <c r="L475" s="14" t="n">
        <v>2970087.82</v>
      </c>
      <c r="M475" s="12" t="s">
        <v>83</v>
      </c>
    </row>
    <row r="476" customFormat="false" ht="15" hidden="false" customHeight="false" outlineLevel="0" collapsed="false">
      <c r="C476" s="12" t="s">
        <v>6</v>
      </c>
      <c r="D476" s="13" t="n">
        <v>2601102</v>
      </c>
      <c r="E476" s="13" t="n">
        <v>2022</v>
      </c>
      <c r="F476" s="12" t="s">
        <v>88</v>
      </c>
      <c r="G476" s="12" t="s">
        <v>167</v>
      </c>
      <c r="H476" s="12" t="s">
        <v>81</v>
      </c>
      <c r="I476" s="12" t="s">
        <v>55</v>
      </c>
      <c r="J476" s="12" t="s">
        <v>89</v>
      </c>
      <c r="K476" s="12" t="s">
        <v>57</v>
      </c>
      <c r="L476" s="14" t="n">
        <v>19521281.88</v>
      </c>
      <c r="M476" s="12" t="s">
        <v>83</v>
      </c>
    </row>
    <row r="477" customFormat="false" ht="15" hidden="false" customHeight="false" outlineLevel="0" collapsed="false">
      <c r="C477" s="12" t="s">
        <v>6</v>
      </c>
      <c r="D477" s="13" t="n">
        <v>2601102</v>
      </c>
      <c r="E477" s="13" t="n">
        <v>2022</v>
      </c>
      <c r="F477" s="12" t="s">
        <v>131</v>
      </c>
      <c r="G477" s="12" t="s">
        <v>167</v>
      </c>
      <c r="H477" s="12" t="s">
        <v>81</v>
      </c>
      <c r="I477" s="12" t="s">
        <v>55</v>
      </c>
      <c r="J477" s="12" t="s">
        <v>132</v>
      </c>
      <c r="K477" s="12" t="s">
        <v>57</v>
      </c>
      <c r="L477" s="14" t="n">
        <v>219.9</v>
      </c>
      <c r="M477" s="12" t="s">
        <v>83</v>
      </c>
    </row>
    <row r="478" customFormat="false" ht="15" hidden="false" customHeight="false" outlineLevel="0" collapsed="false">
      <c r="C478" s="12" t="s">
        <v>6</v>
      </c>
      <c r="D478" s="13" t="n">
        <v>2601102</v>
      </c>
      <c r="E478" s="13" t="n">
        <v>2022</v>
      </c>
      <c r="F478" s="12" t="s">
        <v>90</v>
      </c>
      <c r="G478" s="12" t="s">
        <v>167</v>
      </c>
      <c r="H478" s="12" t="s">
        <v>81</v>
      </c>
      <c r="I478" s="12" t="s">
        <v>55</v>
      </c>
      <c r="J478" s="12" t="s">
        <v>91</v>
      </c>
      <c r="K478" s="12" t="s">
        <v>57</v>
      </c>
      <c r="L478" s="14" t="n">
        <v>4326555.85</v>
      </c>
      <c r="M478" s="12" t="s">
        <v>83</v>
      </c>
    </row>
    <row r="479" customFormat="false" ht="15" hidden="false" customHeight="false" outlineLevel="0" collapsed="false">
      <c r="C479" s="12" t="s">
        <v>6</v>
      </c>
      <c r="D479" s="13" t="n">
        <v>2601102</v>
      </c>
      <c r="E479" s="13" t="n">
        <v>2022</v>
      </c>
      <c r="F479" s="12" t="s">
        <v>92</v>
      </c>
      <c r="G479" s="12" t="s">
        <v>167</v>
      </c>
      <c r="H479" s="12" t="s">
        <v>81</v>
      </c>
      <c r="I479" s="12" t="s">
        <v>55</v>
      </c>
      <c r="J479" s="12" t="s">
        <v>93</v>
      </c>
      <c r="K479" s="12" t="s">
        <v>57</v>
      </c>
      <c r="L479" s="14" t="n">
        <v>26890557.43</v>
      </c>
      <c r="M479" s="12" t="s">
        <v>83</v>
      </c>
    </row>
    <row r="480" customFormat="false" ht="15" hidden="false" customHeight="false" outlineLevel="0" collapsed="false">
      <c r="C480" s="12" t="s">
        <v>6</v>
      </c>
      <c r="D480" s="13" t="n">
        <v>2601102</v>
      </c>
      <c r="E480" s="13" t="n">
        <v>2022</v>
      </c>
      <c r="F480" s="12" t="s">
        <v>94</v>
      </c>
      <c r="G480" s="12" t="s">
        <v>167</v>
      </c>
      <c r="H480" s="12" t="s">
        <v>81</v>
      </c>
      <c r="I480" s="12" t="s">
        <v>55</v>
      </c>
      <c r="J480" s="12" t="s">
        <v>95</v>
      </c>
      <c r="K480" s="12" t="s">
        <v>57</v>
      </c>
      <c r="L480" s="14" t="n">
        <v>50385404.09</v>
      </c>
      <c r="M480" s="12" t="s">
        <v>83</v>
      </c>
    </row>
    <row r="481" customFormat="false" ht="15" hidden="false" customHeight="false" outlineLevel="0" collapsed="false">
      <c r="C481" s="12" t="s">
        <v>6</v>
      </c>
      <c r="D481" s="13" t="n">
        <v>2601102</v>
      </c>
      <c r="E481" s="13" t="n">
        <v>2022</v>
      </c>
      <c r="F481" s="12" t="s">
        <v>98</v>
      </c>
      <c r="G481" s="12" t="s">
        <v>167</v>
      </c>
      <c r="H481" s="12" t="s">
        <v>81</v>
      </c>
      <c r="I481" s="12" t="s">
        <v>55</v>
      </c>
      <c r="J481" s="12" t="s">
        <v>99</v>
      </c>
      <c r="K481" s="12" t="s">
        <v>57</v>
      </c>
      <c r="L481" s="14" t="n">
        <v>98716666.79</v>
      </c>
      <c r="M481" s="12" t="s">
        <v>83</v>
      </c>
    </row>
    <row r="482" customFormat="false" ht="15" hidden="false" customHeight="false" outlineLevel="0" collapsed="false">
      <c r="C482" s="12" t="s">
        <v>6</v>
      </c>
      <c r="D482" s="13" t="n">
        <v>2601102</v>
      </c>
      <c r="E482" s="13" t="n">
        <v>2022</v>
      </c>
      <c r="F482" s="12" t="s">
        <v>100</v>
      </c>
      <c r="G482" s="12" t="s">
        <v>167</v>
      </c>
      <c r="H482" s="12" t="s">
        <v>81</v>
      </c>
      <c r="I482" s="12" t="s">
        <v>55</v>
      </c>
      <c r="J482" s="12" t="s">
        <v>101</v>
      </c>
      <c r="K482" s="12" t="s">
        <v>57</v>
      </c>
      <c r="L482" s="14" t="n">
        <v>5596341.12</v>
      </c>
      <c r="M482" s="12" t="s">
        <v>83</v>
      </c>
    </row>
    <row r="483" customFormat="false" ht="15" hidden="false" customHeight="false" outlineLevel="0" collapsed="false">
      <c r="C483" s="12" t="s">
        <v>6</v>
      </c>
      <c r="D483" s="13" t="n">
        <v>2601102</v>
      </c>
      <c r="E483" s="13" t="n">
        <v>2022</v>
      </c>
      <c r="F483" s="12" t="s">
        <v>133</v>
      </c>
      <c r="G483" s="12" t="s">
        <v>167</v>
      </c>
      <c r="H483" s="12" t="s">
        <v>81</v>
      </c>
      <c r="I483" s="12" t="s">
        <v>55</v>
      </c>
      <c r="J483" s="12" t="s">
        <v>134</v>
      </c>
      <c r="K483" s="12" t="s">
        <v>57</v>
      </c>
      <c r="L483" s="14" t="n">
        <v>341584.99</v>
      </c>
      <c r="M483" s="12" t="s">
        <v>83</v>
      </c>
    </row>
    <row r="484" customFormat="false" ht="15" hidden="false" customHeight="false" outlineLevel="0" collapsed="false">
      <c r="C484" s="12" t="s">
        <v>6</v>
      </c>
      <c r="D484" s="13" t="n">
        <v>2601102</v>
      </c>
      <c r="E484" s="13" t="n">
        <v>2022</v>
      </c>
      <c r="F484" s="12" t="s">
        <v>102</v>
      </c>
      <c r="G484" s="12" t="s">
        <v>167</v>
      </c>
      <c r="H484" s="12" t="s">
        <v>81</v>
      </c>
      <c r="I484" s="12" t="s">
        <v>55</v>
      </c>
      <c r="J484" s="12" t="s">
        <v>103</v>
      </c>
      <c r="K484" s="12" t="s">
        <v>57</v>
      </c>
      <c r="L484" s="14" t="n">
        <v>22496716.62</v>
      </c>
      <c r="M484" s="12" t="s">
        <v>83</v>
      </c>
    </row>
    <row r="485" customFormat="false" ht="15" hidden="false" customHeight="false" outlineLevel="0" collapsed="false">
      <c r="C485" s="12" t="s">
        <v>6</v>
      </c>
      <c r="D485" s="13" t="n">
        <v>2601102</v>
      </c>
      <c r="E485" s="13" t="n">
        <v>2022</v>
      </c>
      <c r="F485" s="12" t="s">
        <v>104</v>
      </c>
      <c r="G485" s="12" t="s">
        <v>167</v>
      </c>
      <c r="H485" s="12" t="s">
        <v>81</v>
      </c>
      <c r="I485" s="12" t="s">
        <v>55</v>
      </c>
      <c r="J485" s="12" t="s">
        <v>105</v>
      </c>
      <c r="K485" s="12" t="s">
        <v>57</v>
      </c>
      <c r="L485" s="14" t="n">
        <v>1005117.79</v>
      </c>
      <c r="M485" s="12" t="s">
        <v>83</v>
      </c>
    </row>
    <row r="486" customFormat="false" ht="15" hidden="false" customHeight="false" outlineLevel="0" collapsed="false">
      <c r="C486" s="12" t="s">
        <v>6</v>
      </c>
      <c r="D486" s="13" t="n">
        <v>2601102</v>
      </c>
      <c r="E486" s="13" t="n">
        <v>2022</v>
      </c>
      <c r="F486" s="12" t="s">
        <v>106</v>
      </c>
      <c r="G486" s="12" t="s">
        <v>167</v>
      </c>
      <c r="H486" s="12" t="s">
        <v>81</v>
      </c>
      <c r="I486" s="12" t="s">
        <v>55</v>
      </c>
      <c r="J486" s="12" t="s">
        <v>107</v>
      </c>
      <c r="K486" s="12" t="s">
        <v>57</v>
      </c>
      <c r="L486" s="14" t="n">
        <v>1138725.7</v>
      </c>
      <c r="M486" s="12" t="s">
        <v>83</v>
      </c>
    </row>
    <row r="487" customFormat="false" ht="15" hidden="false" customHeight="false" outlineLevel="0" collapsed="false">
      <c r="C487" s="12" t="s">
        <v>6</v>
      </c>
      <c r="D487" s="13" t="n">
        <v>2601102</v>
      </c>
      <c r="E487" s="13" t="n">
        <v>2022</v>
      </c>
      <c r="F487" s="12" t="s">
        <v>108</v>
      </c>
      <c r="G487" s="12" t="s">
        <v>167</v>
      </c>
      <c r="H487" s="12" t="s">
        <v>81</v>
      </c>
      <c r="I487" s="12" t="s">
        <v>55</v>
      </c>
      <c r="J487" s="12" t="s">
        <v>109</v>
      </c>
      <c r="K487" s="12" t="s">
        <v>57</v>
      </c>
      <c r="L487" s="14" t="n">
        <v>5571382.45</v>
      </c>
      <c r="M487" s="12" t="s">
        <v>83</v>
      </c>
    </row>
    <row r="488" customFormat="false" ht="15" hidden="false" customHeight="false" outlineLevel="0" collapsed="false">
      <c r="C488" s="12" t="s">
        <v>6</v>
      </c>
      <c r="D488" s="13" t="n">
        <v>2601102</v>
      </c>
      <c r="E488" s="13" t="n">
        <v>2022</v>
      </c>
      <c r="F488" s="12" t="s">
        <v>162</v>
      </c>
      <c r="G488" s="12" t="s">
        <v>167</v>
      </c>
      <c r="H488" s="12" t="s">
        <v>81</v>
      </c>
      <c r="I488" s="12" t="s">
        <v>55</v>
      </c>
      <c r="J488" s="12" t="s">
        <v>163</v>
      </c>
      <c r="K488" s="12" t="s">
        <v>57</v>
      </c>
      <c r="L488" s="14" t="n">
        <v>547724.34</v>
      </c>
      <c r="M488" s="12" t="s">
        <v>83</v>
      </c>
    </row>
    <row r="489" customFormat="false" ht="15" hidden="false" customHeight="false" outlineLevel="0" collapsed="false">
      <c r="C489" s="12" t="s">
        <v>6</v>
      </c>
      <c r="D489" s="13" t="n">
        <v>2601102</v>
      </c>
      <c r="E489" s="13" t="n">
        <v>2022</v>
      </c>
      <c r="F489" s="12" t="s">
        <v>135</v>
      </c>
      <c r="G489" s="12" t="s">
        <v>167</v>
      </c>
      <c r="H489" s="12" t="s">
        <v>81</v>
      </c>
      <c r="I489" s="12" t="s">
        <v>55</v>
      </c>
      <c r="J489" s="12" t="s">
        <v>136</v>
      </c>
      <c r="K489" s="12" t="s">
        <v>57</v>
      </c>
      <c r="L489" s="14" t="n">
        <v>1319618.11</v>
      </c>
      <c r="M489" s="12" t="s">
        <v>83</v>
      </c>
    </row>
    <row r="490" customFormat="false" ht="15" hidden="false" customHeight="false" outlineLevel="0" collapsed="false">
      <c r="C490" s="12" t="s">
        <v>6</v>
      </c>
      <c r="D490" s="13" t="n">
        <v>2601102</v>
      </c>
      <c r="E490" s="13" t="n">
        <v>2022</v>
      </c>
      <c r="F490" s="12" t="s">
        <v>112</v>
      </c>
      <c r="G490" s="12" t="s">
        <v>167</v>
      </c>
      <c r="H490" s="12" t="s">
        <v>81</v>
      </c>
      <c r="I490" s="12" t="s">
        <v>55</v>
      </c>
      <c r="J490" s="12" t="s">
        <v>113</v>
      </c>
      <c r="K490" s="12" t="s">
        <v>57</v>
      </c>
      <c r="L490" s="14" t="n">
        <v>911862.43</v>
      </c>
      <c r="M490" s="12" t="s">
        <v>83</v>
      </c>
    </row>
    <row r="491" customFormat="false" ht="15" hidden="false" customHeight="false" outlineLevel="0" collapsed="false">
      <c r="C491" s="12" t="s">
        <v>6</v>
      </c>
      <c r="D491" s="13" t="n">
        <v>2601102</v>
      </c>
      <c r="E491" s="13" t="n">
        <v>2022</v>
      </c>
      <c r="F491" s="12" t="s">
        <v>137</v>
      </c>
      <c r="G491" s="12" t="s">
        <v>167</v>
      </c>
      <c r="H491" s="12" t="s">
        <v>81</v>
      </c>
      <c r="I491" s="12" t="s">
        <v>55</v>
      </c>
      <c r="J491" s="12" t="s">
        <v>138</v>
      </c>
      <c r="K491" s="12" t="s">
        <v>57</v>
      </c>
      <c r="L491" s="14" t="n">
        <v>815002.81</v>
      </c>
      <c r="M491" s="12" t="s">
        <v>83</v>
      </c>
    </row>
    <row r="492" customFormat="false" ht="15" hidden="false" customHeight="false" outlineLevel="0" collapsed="false">
      <c r="C492" s="12" t="s">
        <v>6</v>
      </c>
      <c r="D492" s="13" t="n">
        <v>2601102</v>
      </c>
      <c r="E492" s="13" t="n">
        <v>2022</v>
      </c>
      <c r="F492" s="12" t="s">
        <v>114</v>
      </c>
      <c r="G492" s="12" t="s">
        <v>167</v>
      </c>
      <c r="H492" s="12" t="s">
        <v>81</v>
      </c>
      <c r="I492" s="12" t="s">
        <v>55</v>
      </c>
      <c r="J492" s="12" t="s">
        <v>115</v>
      </c>
      <c r="K492" s="12" t="s">
        <v>57</v>
      </c>
      <c r="L492" s="14" t="n">
        <v>3221391.3</v>
      </c>
      <c r="M492" s="12" t="s">
        <v>83</v>
      </c>
    </row>
    <row r="493" customFormat="false" ht="15" hidden="false" customHeight="false" outlineLevel="0" collapsed="false">
      <c r="C493" s="12" t="s">
        <v>6</v>
      </c>
      <c r="D493" s="13" t="n">
        <v>2601102</v>
      </c>
      <c r="E493" s="13" t="n">
        <v>2023</v>
      </c>
      <c r="F493" s="12" t="s">
        <v>45</v>
      </c>
      <c r="G493" s="12" t="s">
        <v>168</v>
      </c>
      <c r="H493" s="12" t="s">
        <v>47</v>
      </c>
      <c r="I493" s="12" t="s">
        <v>48</v>
      </c>
      <c r="J493" s="12" t="s">
        <v>140</v>
      </c>
      <c r="K493" s="12" t="s">
        <v>50</v>
      </c>
      <c r="L493" s="14" t="n">
        <v>351842882.26</v>
      </c>
      <c r="M493" s="12" t="s">
        <v>79</v>
      </c>
    </row>
    <row r="494" customFormat="false" ht="15" hidden="false" customHeight="false" outlineLevel="0" collapsed="false">
      <c r="C494" s="12" t="s">
        <v>6</v>
      </c>
      <c r="D494" s="13" t="n">
        <v>2601102</v>
      </c>
      <c r="E494" s="13" t="n">
        <v>2023</v>
      </c>
      <c r="F494" s="12" t="s">
        <v>51</v>
      </c>
      <c r="G494" s="12" t="s">
        <v>168</v>
      </c>
      <c r="H494" s="12" t="s">
        <v>47</v>
      </c>
      <c r="I494" s="12" t="s">
        <v>48</v>
      </c>
      <c r="J494" s="12" t="s">
        <v>140</v>
      </c>
      <c r="K494" s="12" t="s">
        <v>52</v>
      </c>
      <c r="L494" s="14" t="n">
        <v>19247389.5</v>
      </c>
      <c r="M494" s="12" t="s">
        <v>79</v>
      </c>
    </row>
    <row r="495" customFormat="false" ht="15" hidden="false" customHeight="false" outlineLevel="0" collapsed="false">
      <c r="C495" s="12" t="s">
        <v>6</v>
      </c>
      <c r="D495" s="13" t="n">
        <v>2601102</v>
      </c>
      <c r="E495" s="13" t="n">
        <v>2023</v>
      </c>
      <c r="F495" s="12" t="s">
        <v>150</v>
      </c>
      <c r="G495" s="12" t="s">
        <v>168</v>
      </c>
      <c r="H495" s="12" t="s">
        <v>47</v>
      </c>
      <c r="I495" s="12" t="s">
        <v>48</v>
      </c>
      <c r="J495" s="12" t="s">
        <v>140</v>
      </c>
      <c r="K495" s="12" t="s">
        <v>151</v>
      </c>
      <c r="L495" s="14" t="n">
        <v>1406366.72</v>
      </c>
      <c r="M495" s="12" t="s">
        <v>79</v>
      </c>
    </row>
    <row r="496" customFormat="false" ht="15" hidden="false" customHeight="false" outlineLevel="0" collapsed="false">
      <c r="C496" s="12" t="s">
        <v>6</v>
      </c>
      <c r="D496" s="13" t="n">
        <v>2601102</v>
      </c>
      <c r="E496" s="13" t="n">
        <v>2023</v>
      </c>
      <c r="F496" s="12" t="s">
        <v>53</v>
      </c>
      <c r="G496" s="12" t="s">
        <v>168</v>
      </c>
      <c r="H496" s="12" t="s">
        <v>54</v>
      </c>
      <c r="I496" s="12" t="s">
        <v>55</v>
      </c>
      <c r="J496" s="12" t="s">
        <v>56</v>
      </c>
      <c r="K496" s="12" t="s">
        <v>57</v>
      </c>
      <c r="L496" s="14" t="n">
        <v>303646905.45</v>
      </c>
      <c r="M496" s="12" t="s">
        <v>79</v>
      </c>
    </row>
    <row r="497" customFormat="false" ht="15" hidden="false" customHeight="false" outlineLevel="0" collapsed="false">
      <c r="C497" s="12" t="s">
        <v>6</v>
      </c>
      <c r="D497" s="13" t="n">
        <v>2601102</v>
      </c>
      <c r="E497" s="13" t="n">
        <v>2023</v>
      </c>
      <c r="F497" s="12" t="s">
        <v>58</v>
      </c>
      <c r="G497" s="12" t="s">
        <v>168</v>
      </c>
      <c r="H497" s="12" t="s">
        <v>54</v>
      </c>
      <c r="I497" s="12" t="s">
        <v>55</v>
      </c>
      <c r="J497" s="12" t="s">
        <v>56</v>
      </c>
      <c r="K497" s="12" t="s">
        <v>59</v>
      </c>
      <c r="L497" s="14" t="n">
        <v>303646901.45</v>
      </c>
      <c r="M497" s="12" t="s">
        <v>79</v>
      </c>
    </row>
    <row r="498" customFormat="false" ht="15" hidden="false" customHeight="false" outlineLevel="0" collapsed="false">
      <c r="C498" s="12" t="s">
        <v>6</v>
      </c>
      <c r="D498" s="13" t="n">
        <v>2601102</v>
      </c>
      <c r="E498" s="13" t="n">
        <v>2023</v>
      </c>
      <c r="F498" s="12" t="s">
        <v>60</v>
      </c>
      <c r="G498" s="12" t="s">
        <v>168</v>
      </c>
      <c r="H498" s="12" t="s">
        <v>54</v>
      </c>
      <c r="I498" s="12" t="s">
        <v>55</v>
      </c>
      <c r="J498" s="12" t="s">
        <v>56</v>
      </c>
      <c r="K498" s="12" t="s">
        <v>61</v>
      </c>
      <c r="L498" s="14" t="n">
        <v>302628832.44</v>
      </c>
      <c r="M498" s="12" t="s">
        <v>79</v>
      </c>
    </row>
    <row r="499" customFormat="false" ht="15" hidden="false" customHeight="false" outlineLevel="0" collapsed="false">
      <c r="C499" s="12" t="s">
        <v>6</v>
      </c>
      <c r="D499" s="13" t="n">
        <v>2601102</v>
      </c>
      <c r="E499" s="13" t="n">
        <v>2023</v>
      </c>
      <c r="F499" s="12" t="s">
        <v>80</v>
      </c>
      <c r="G499" s="12" t="s">
        <v>168</v>
      </c>
      <c r="H499" s="12" t="s">
        <v>81</v>
      </c>
      <c r="I499" s="12" t="s">
        <v>55</v>
      </c>
      <c r="J499" s="12" t="s">
        <v>82</v>
      </c>
      <c r="K499" s="12" t="s">
        <v>57</v>
      </c>
      <c r="L499" s="14" t="n">
        <v>279349246.37</v>
      </c>
      <c r="M499" s="12" t="s">
        <v>83</v>
      </c>
    </row>
    <row r="500" customFormat="false" ht="15" hidden="false" customHeight="false" outlineLevel="0" collapsed="false">
      <c r="C500" s="12" t="s">
        <v>6</v>
      </c>
      <c r="D500" s="13" t="n">
        <v>2601102</v>
      </c>
      <c r="E500" s="13" t="n">
        <v>2023</v>
      </c>
      <c r="F500" s="12" t="s">
        <v>84</v>
      </c>
      <c r="G500" s="12" t="s">
        <v>168</v>
      </c>
      <c r="H500" s="12" t="s">
        <v>81</v>
      </c>
      <c r="I500" s="12" t="s">
        <v>55</v>
      </c>
      <c r="J500" s="12" t="s">
        <v>82</v>
      </c>
      <c r="K500" s="12" t="s">
        <v>59</v>
      </c>
      <c r="L500" s="14" t="n">
        <v>279349242.37</v>
      </c>
      <c r="M500" s="12" t="s">
        <v>83</v>
      </c>
    </row>
    <row r="501" customFormat="false" ht="15" hidden="false" customHeight="false" outlineLevel="0" collapsed="false">
      <c r="C501" s="12" t="s">
        <v>6</v>
      </c>
      <c r="D501" s="13" t="n">
        <v>2601102</v>
      </c>
      <c r="E501" s="13" t="n">
        <v>2023</v>
      </c>
      <c r="F501" s="12" t="s">
        <v>85</v>
      </c>
      <c r="G501" s="12" t="s">
        <v>168</v>
      </c>
      <c r="H501" s="12" t="s">
        <v>81</v>
      </c>
      <c r="I501" s="12" t="s">
        <v>55</v>
      </c>
      <c r="J501" s="12" t="s">
        <v>82</v>
      </c>
      <c r="K501" s="12" t="s">
        <v>61</v>
      </c>
      <c r="L501" s="14" t="n">
        <v>278543415.28</v>
      </c>
      <c r="M501" s="12" t="s">
        <v>83</v>
      </c>
    </row>
    <row r="502" customFormat="false" ht="15" hidden="false" customHeight="false" outlineLevel="0" collapsed="false">
      <c r="C502" s="12" t="s">
        <v>6</v>
      </c>
      <c r="D502" s="13" t="n">
        <v>2601102</v>
      </c>
      <c r="E502" s="13" t="n">
        <v>2023</v>
      </c>
      <c r="F502" s="12" t="s">
        <v>141</v>
      </c>
      <c r="G502" s="12" t="s">
        <v>168</v>
      </c>
      <c r="H502" s="12" t="s">
        <v>47</v>
      </c>
      <c r="I502" s="12" t="s">
        <v>142</v>
      </c>
      <c r="J502" s="12" t="s">
        <v>143</v>
      </c>
      <c r="K502" s="12" t="s">
        <v>50</v>
      </c>
      <c r="L502" s="14" t="n">
        <v>24306910.19</v>
      </c>
      <c r="M502" s="12" t="s">
        <v>79</v>
      </c>
    </row>
    <row r="503" customFormat="false" ht="15" hidden="false" customHeight="false" outlineLevel="0" collapsed="false">
      <c r="C503" s="12" t="s">
        <v>6</v>
      </c>
      <c r="D503" s="13" t="n">
        <v>2601102</v>
      </c>
      <c r="E503" s="13" t="n">
        <v>2023</v>
      </c>
      <c r="F503" s="12" t="s">
        <v>144</v>
      </c>
      <c r="G503" s="12" t="s">
        <v>168</v>
      </c>
      <c r="H503" s="12" t="s">
        <v>47</v>
      </c>
      <c r="I503" s="12" t="s">
        <v>145</v>
      </c>
      <c r="J503" s="12" t="s">
        <v>146</v>
      </c>
      <c r="K503" s="12" t="s">
        <v>50</v>
      </c>
      <c r="L503" s="14" t="n">
        <v>327535972.07</v>
      </c>
      <c r="M503" s="12" t="s">
        <v>79</v>
      </c>
    </row>
    <row r="504" customFormat="false" ht="15" hidden="false" customHeight="false" outlineLevel="0" collapsed="false">
      <c r="C504" s="12" t="s">
        <v>6</v>
      </c>
      <c r="D504" s="13" t="n">
        <v>2601102</v>
      </c>
      <c r="E504" s="13" t="n">
        <v>2023</v>
      </c>
      <c r="F504" s="12" t="s">
        <v>62</v>
      </c>
      <c r="G504" s="12" t="s">
        <v>168</v>
      </c>
      <c r="H504" s="12" t="s">
        <v>47</v>
      </c>
      <c r="I504" s="12" t="s">
        <v>117</v>
      </c>
      <c r="J504" s="12" t="s">
        <v>118</v>
      </c>
      <c r="K504" s="12" t="s">
        <v>50</v>
      </c>
      <c r="L504" s="14" t="n">
        <v>23037429.83</v>
      </c>
      <c r="M504" s="12" t="s">
        <v>79</v>
      </c>
    </row>
    <row r="505" customFormat="false" ht="15" hidden="false" customHeight="false" outlineLevel="0" collapsed="false">
      <c r="C505" s="12" t="s">
        <v>6</v>
      </c>
      <c r="D505" s="13" t="n">
        <v>2601102</v>
      </c>
      <c r="E505" s="13" t="n">
        <v>2023</v>
      </c>
      <c r="F505" s="12" t="s">
        <v>65</v>
      </c>
      <c r="G505" s="12" t="s">
        <v>168</v>
      </c>
      <c r="H505" s="12" t="s">
        <v>47</v>
      </c>
      <c r="I505" s="12" t="s">
        <v>119</v>
      </c>
      <c r="J505" s="12" t="s">
        <v>120</v>
      </c>
      <c r="K505" s="12" t="s">
        <v>50</v>
      </c>
      <c r="L505" s="14" t="n">
        <v>242880007.36</v>
      </c>
      <c r="M505" s="12" t="s">
        <v>79</v>
      </c>
    </row>
    <row r="506" customFormat="false" ht="15" hidden="false" customHeight="false" outlineLevel="0" collapsed="false">
      <c r="C506" s="12" t="s">
        <v>6</v>
      </c>
      <c r="D506" s="13" t="n">
        <v>2601102</v>
      </c>
      <c r="E506" s="13" t="n">
        <v>2023</v>
      </c>
      <c r="F506" s="12" t="s">
        <v>68</v>
      </c>
      <c r="G506" s="12" t="s">
        <v>168</v>
      </c>
      <c r="H506" s="12" t="s">
        <v>47</v>
      </c>
      <c r="I506" s="12" t="s">
        <v>121</v>
      </c>
      <c r="J506" s="12" t="s">
        <v>122</v>
      </c>
      <c r="K506" s="12" t="s">
        <v>50</v>
      </c>
      <c r="L506" s="14" t="n">
        <v>3706528.37</v>
      </c>
      <c r="M506" s="12" t="s">
        <v>79</v>
      </c>
    </row>
    <row r="507" customFormat="false" ht="15" hidden="false" customHeight="false" outlineLevel="0" collapsed="false">
      <c r="C507" s="12" t="s">
        <v>6</v>
      </c>
      <c r="D507" s="13" t="n">
        <v>2601102</v>
      </c>
      <c r="E507" s="13" t="n">
        <v>2023</v>
      </c>
      <c r="F507" s="12" t="s">
        <v>71</v>
      </c>
      <c r="G507" s="12" t="s">
        <v>168</v>
      </c>
      <c r="H507" s="12" t="s">
        <v>47</v>
      </c>
      <c r="I507" s="12" t="s">
        <v>123</v>
      </c>
      <c r="J507" s="12" t="s">
        <v>124</v>
      </c>
      <c r="K507" s="12" t="s">
        <v>50</v>
      </c>
      <c r="L507" s="14" t="n">
        <v>153024770.6</v>
      </c>
      <c r="M507" s="12" t="s">
        <v>79</v>
      </c>
    </row>
    <row r="508" customFormat="false" ht="15" hidden="false" customHeight="false" outlineLevel="0" collapsed="false">
      <c r="C508" s="12" t="s">
        <v>6</v>
      </c>
      <c r="D508" s="13" t="n">
        <v>2601102</v>
      </c>
      <c r="E508" s="13" t="n">
        <v>2023</v>
      </c>
      <c r="F508" s="12" t="s">
        <v>71</v>
      </c>
      <c r="G508" s="12" t="s">
        <v>168</v>
      </c>
      <c r="H508" s="12" t="s">
        <v>47</v>
      </c>
      <c r="I508" s="12" t="s">
        <v>125</v>
      </c>
      <c r="J508" s="12" t="s">
        <v>126</v>
      </c>
      <c r="K508" s="12" t="s">
        <v>50</v>
      </c>
      <c r="L508" s="14" t="n">
        <v>26597362.17</v>
      </c>
      <c r="M508" s="12" t="s">
        <v>79</v>
      </c>
    </row>
    <row r="509" customFormat="false" ht="15" hidden="false" customHeight="false" outlineLevel="0" collapsed="false">
      <c r="C509" s="12" t="s">
        <v>6</v>
      </c>
      <c r="D509" s="13" t="n">
        <v>2601102</v>
      </c>
      <c r="E509" s="13" t="n">
        <v>2023</v>
      </c>
      <c r="F509" s="12" t="s">
        <v>74</v>
      </c>
      <c r="G509" s="12" t="s">
        <v>168</v>
      </c>
      <c r="H509" s="12" t="s">
        <v>47</v>
      </c>
      <c r="I509" s="12" t="s">
        <v>127</v>
      </c>
      <c r="J509" s="12" t="s">
        <v>128</v>
      </c>
      <c r="K509" s="12" t="s">
        <v>50</v>
      </c>
      <c r="L509" s="14" t="n">
        <v>3706528.37</v>
      </c>
      <c r="M509" s="12" t="s">
        <v>79</v>
      </c>
    </row>
    <row r="510" customFormat="false" ht="15" hidden="false" customHeight="false" outlineLevel="0" collapsed="false">
      <c r="C510" s="12" t="s">
        <v>6</v>
      </c>
      <c r="D510" s="13" t="n">
        <v>2601102</v>
      </c>
      <c r="E510" s="13" t="n">
        <v>2023</v>
      </c>
      <c r="F510" s="12" t="s">
        <v>86</v>
      </c>
      <c r="G510" s="12" t="s">
        <v>168</v>
      </c>
      <c r="H510" s="12" t="s">
        <v>81</v>
      </c>
      <c r="I510" s="12" t="s">
        <v>55</v>
      </c>
      <c r="J510" s="12" t="s">
        <v>87</v>
      </c>
      <c r="K510" s="12" t="s">
        <v>57</v>
      </c>
      <c r="L510" s="14" t="n">
        <v>7249845.36</v>
      </c>
      <c r="M510" s="12" t="s">
        <v>83</v>
      </c>
    </row>
    <row r="511" customFormat="false" ht="15" hidden="false" customHeight="false" outlineLevel="0" collapsed="false">
      <c r="C511" s="12" t="s">
        <v>6</v>
      </c>
      <c r="D511" s="13" t="n">
        <v>2601102</v>
      </c>
      <c r="E511" s="13" t="n">
        <v>2023</v>
      </c>
      <c r="F511" s="12" t="s">
        <v>157</v>
      </c>
      <c r="G511" s="12" t="s">
        <v>168</v>
      </c>
      <c r="H511" s="12" t="s">
        <v>81</v>
      </c>
      <c r="I511" s="12" t="s">
        <v>55</v>
      </c>
      <c r="J511" s="12" t="s">
        <v>158</v>
      </c>
      <c r="K511" s="12" t="s">
        <v>57</v>
      </c>
      <c r="L511" s="14" t="n">
        <v>2583200.16</v>
      </c>
      <c r="M511" s="12" t="s">
        <v>83</v>
      </c>
    </row>
    <row r="512" customFormat="false" ht="15" hidden="false" customHeight="false" outlineLevel="0" collapsed="false">
      <c r="C512" s="12" t="s">
        <v>6</v>
      </c>
      <c r="D512" s="13" t="n">
        <v>2601102</v>
      </c>
      <c r="E512" s="13" t="n">
        <v>2023</v>
      </c>
      <c r="F512" s="12" t="s">
        <v>88</v>
      </c>
      <c r="G512" s="12" t="s">
        <v>168</v>
      </c>
      <c r="H512" s="12" t="s">
        <v>81</v>
      </c>
      <c r="I512" s="12" t="s">
        <v>55</v>
      </c>
      <c r="J512" s="12" t="s">
        <v>89</v>
      </c>
      <c r="K512" s="12" t="s">
        <v>57</v>
      </c>
      <c r="L512" s="14" t="n">
        <v>22422242.34</v>
      </c>
      <c r="M512" s="12" t="s">
        <v>83</v>
      </c>
    </row>
    <row r="513" customFormat="false" ht="15" hidden="false" customHeight="false" outlineLevel="0" collapsed="false">
      <c r="C513" s="12" t="s">
        <v>6</v>
      </c>
      <c r="D513" s="13" t="n">
        <v>2601102</v>
      </c>
      <c r="E513" s="13" t="n">
        <v>2023</v>
      </c>
      <c r="F513" s="12" t="s">
        <v>90</v>
      </c>
      <c r="G513" s="12" t="s">
        <v>168</v>
      </c>
      <c r="H513" s="12" t="s">
        <v>81</v>
      </c>
      <c r="I513" s="12" t="s">
        <v>55</v>
      </c>
      <c r="J513" s="12" t="s">
        <v>91</v>
      </c>
      <c r="K513" s="12" t="s">
        <v>57</v>
      </c>
      <c r="L513" s="14" t="n">
        <v>5682942.08</v>
      </c>
      <c r="M513" s="12" t="s">
        <v>83</v>
      </c>
    </row>
    <row r="514" customFormat="false" ht="15" hidden="false" customHeight="false" outlineLevel="0" collapsed="false">
      <c r="C514" s="12" t="s">
        <v>6</v>
      </c>
      <c r="D514" s="13" t="n">
        <v>2601102</v>
      </c>
      <c r="E514" s="13" t="n">
        <v>2023</v>
      </c>
      <c r="F514" s="12" t="s">
        <v>92</v>
      </c>
      <c r="G514" s="12" t="s">
        <v>168</v>
      </c>
      <c r="H514" s="12" t="s">
        <v>81</v>
      </c>
      <c r="I514" s="12" t="s">
        <v>55</v>
      </c>
      <c r="J514" s="12" t="s">
        <v>93</v>
      </c>
      <c r="K514" s="12" t="s">
        <v>57</v>
      </c>
      <c r="L514" s="14" t="n">
        <v>28690510.96</v>
      </c>
      <c r="M514" s="12" t="s">
        <v>83</v>
      </c>
    </row>
    <row r="515" customFormat="false" ht="15" hidden="false" customHeight="false" outlineLevel="0" collapsed="false">
      <c r="C515" s="12" t="s">
        <v>6</v>
      </c>
      <c r="D515" s="13" t="n">
        <v>2601102</v>
      </c>
      <c r="E515" s="13" t="n">
        <v>2023</v>
      </c>
      <c r="F515" s="12" t="s">
        <v>94</v>
      </c>
      <c r="G515" s="12" t="s">
        <v>168</v>
      </c>
      <c r="H515" s="12" t="s">
        <v>81</v>
      </c>
      <c r="I515" s="12" t="s">
        <v>55</v>
      </c>
      <c r="J515" s="12" t="s">
        <v>95</v>
      </c>
      <c r="K515" s="12" t="s">
        <v>57</v>
      </c>
      <c r="L515" s="14" t="n">
        <v>57487042.6</v>
      </c>
      <c r="M515" s="12" t="s">
        <v>83</v>
      </c>
    </row>
    <row r="516" customFormat="false" ht="15" hidden="false" customHeight="false" outlineLevel="0" collapsed="false">
      <c r="C516" s="12" t="s">
        <v>6</v>
      </c>
      <c r="D516" s="13" t="n">
        <v>2601102</v>
      </c>
      <c r="E516" s="13" t="n">
        <v>2023</v>
      </c>
      <c r="F516" s="12" t="s">
        <v>98</v>
      </c>
      <c r="G516" s="12" t="s">
        <v>168</v>
      </c>
      <c r="H516" s="12" t="s">
        <v>81</v>
      </c>
      <c r="I516" s="12" t="s">
        <v>55</v>
      </c>
      <c r="J516" s="12" t="s">
        <v>99</v>
      </c>
      <c r="K516" s="12" t="s">
        <v>57</v>
      </c>
      <c r="L516" s="14" t="n">
        <v>103178751.73</v>
      </c>
      <c r="M516" s="12" t="s">
        <v>83</v>
      </c>
    </row>
    <row r="517" customFormat="false" ht="15" hidden="false" customHeight="false" outlineLevel="0" collapsed="false">
      <c r="C517" s="12" t="s">
        <v>6</v>
      </c>
      <c r="D517" s="13" t="n">
        <v>2601102</v>
      </c>
      <c r="E517" s="13" t="n">
        <v>2023</v>
      </c>
      <c r="F517" s="12" t="s">
        <v>100</v>
      </c>
      <c r="G517" s="12" t="s">
        <v>168</v>
      </c>
      <c r="H517" s="12" t="s">
        <v>81</v>
      </c>
      <c r="I517" s="12" t="s">
        <v>55</v>
      </c>
      <c r="J517" s="12" t="s">
        <v>101</v>
      </c>
      <c r="K517" s="12" t="s">
        <v>57</v>
      </c>
      <c r="L517" s="14" t="n">
        <v>9138098.34</v>
      </c>
      <c r="M517" s="12" t="s">
        <v>83</v>
      </c>
    </row>
    <row r="518" customFormat="false" ht="15" hidden="false" customHeight="false" outlineLevel="0" collapsed="false">
      <c r="C518" s="12" t="s">
        <v>6</v>
      </c>
      <c r="D518" s="13" t="n">
        <v>2601102</v>
      </c>
      <c r="E518" s="13" t="n">
        <v>2023</v>
      </c>
      <c r="F518" s="12" t="s">
        <v>133</v>
      </c>
      <c r="G518" s="12" t="s">
        <v>168</v>
      </c>
      <c r="H518" s="12" t="s">
        <v>81</v>
      </c>
      <c r="I518" s="12" t="s">
        <v>55</v>
      </c>
      <c r="J518" s="12" t="s">
        <v>134</v>
      </c>
      <c r="K518" s="12" t="s">
        <v>57</v>
      </c>
      <c r="L518" s="14" t="n">
        <v>342784.87</v>
      </c>
      <c r="M518" s="12" t="s">
        <v>83</v>
      </c>
    </row>
    <row r="519" customFormat="false" ht="15" hidden="false" customHeight="false" outlineLevel="0" collapsed="false">
      <c r="C519" s="12" t="s">
        <v>6</v>
      </c>
      <c r="D519" s="13" t="n">
        <v>2601102</v>
      </c>
      <c r="E519" s="13" t="n">
        <v>2023</v>
      </c>
      <c r="F519" s="12" t="s">
        <v>102</v>
      </c>
      <c r="G519" s="12" t="s">
        <v>168</v>
      </c>
      <c r="H519" s="12" t="s">
        <v>81</v>
      </c>
      <c r="I519" s="12" t="s">
        <v>55</v>
      </c>
      <c r="J519" s="12" t="s">
        <v>103</v>
      </c>
      <c r="K519" s="12" t="s">
        <v>57</v>
      </c>
      <c r="L519" s="14" t="n">
        <v>25937979.9</v>
      </c>
      <c r="M519" s="12" t="s">
        <v>83</v>
      </c>
    </row>
    <row r="520" customFormat="false" ht="15" hidden="false" customHeight="false" outlineLevel="0" collapsed="false">
      <c r="C520" s="12" t="s">
        <v>6</v>
      </c>
      <c r="D520" s="13" t="n">
        <v>2601102</v>
      </c>
      <c r="E520" s="13" t="n">
        <v>2023</v>
      </c>
      <c r="F520" s="12" t="s">
        <v>104</v>
      </c>
      <c r="G520" s="12" t="s">
        <v>168</v>
      </c>
      <c r="H520" s="12" t="s">
        <v>81</v>
      </c>
      <c r="I520" s="12" t="s">
        <v>55</v>
      </c>
      <c r="J520" s="12" t="s">
        <v>105</v>
      </c>
      <c r="K520" s="12" t="s">
        <v>57</v>
      </c>
      <c r="L520" s="14" t="n">
        <v>1543309.76</v>
      </c>
      <c r="M520" s="12" t="s">
        <v>83</v>
      </c>
    </row>
    <row r="521" customFormat="false" ht="15" hidden="false" customHeight="false" outlineLevel="0" collapsed="false">
      <c r="C521" s="12" t="s">
        <v>6</v>
      </c>
      <c r="D521" s="13" t="n">
        <v>2601102</v>
      </c>
      <c r="E521" s="13" t="n">
        <v>2023</v>
      </c>
      <c r="F521" s="12" t="s">
        <v>106</v>
      </c>
      <c r="G521" s="12" t="s">
        <v>168</v>
      </c>
      <c r="H521" s="12" t="s">
        <v>81</v>
      </c>
      <c r="I521" s="12" t="s">
        <v>55</v>
      </c>
      <c r="J521" s="12" t="s">
        <v>107</v>
      </c>
      <c r="K521" s="12" t="s">
        <v>57</v>
      </c>
      <c r="L521" s="14" t="n">
        <v>1145716.43</v>
      </c>
      <c r="M521" s="12" t="s">
        <v>83</v>
      </c>
    </row>
    <row r="522" customFormat="false" ht="15" hidden="false" customHeight="false" outlineLevel="0" collapsed="false">
      <c r="C522" s="12" t="s">
        <v>6</v>
      </c>
      <c r="D522" s="13" t="n">
        <v>2601102</v>
      </c>
      <c r="E522" s="13" t="n">
        <v>2023</v>
      </c>
      <c r="F522" s="12" t="s">
        <v>108</v>
      </c>
      <c r="G522" s="12" t="s">
        <v>168</v>
      </c>
      <c r="H522" s="12" t="s">
        <v>81</v>
      </c>
      <c r="I522" s="12" t="s">
        <v>55</v>
      </c>
      <c r="J522" s="12" t="s">
        <v>109</v>
      </c>
      <c r="K522" s="12" t="s">
        <v>57</v>
      </c>
      <c r="L522" s="14" t="n">
        <v>5683555.72</v>
      </c>
      <c r="M522" s="12" t="s">
        <v>83</v>
      </c>
    </row>
    <row r="523" customFormat="false" ht="15" hidden="false" customHeight="false" outlineLevel="0" collapsed="false">
      <c r="C523" s="12" t="s">
        <v>6</v>
      </c>
      <c r="D523" s="13" t="n">
        <v>2601102</v>
      </c>
      <c r="E523" s="13" t="n">
        <v>2023</v>
      </c>
      <c r="F523" s="12" t="s">
        <v>162</v>
      </c>
      <c r="G523" s="12" t="s">
        <v>168</v>
      </c>
      <c r="H523" s="12" t="s">
        <v>81</v>
      </c>
      <c r="I523" s="12" t="s">
        <v>55</v>
      </c>
      <c r="J523" s="12" t="s">
        <v>163</v>
      </c>
      <c r="K523" s="12" t="s">
        <v>57</v>
      </c>
      <c r="L523" s="14" t="n">
        <v>736137.82</v>
      </c>
      <c r="M523" s="12" t="s">
        <v>83</v>
      </c>
    </row>
    <row r="524" customFormat="false" ht="15" hidden="false" customHeight="false" outlineLevel="0" collapsed="false">
      <c r="C524" s="12" t="s">
        <v>6</v>
      </c>
      <c r="D524" s="13" t="n">
        <v>2601102</v>
      </c>
      <c r="E524" s="13" t="n">
        <v>2023</v>
      </c>
      <c r="F524" s="12" t="s">
        <v>135</v>
      </c>
      <c r="G524" s="12" t="s">
        <v>168</v>
      </c>
      <c r="H524" s="12" t="s">
        <v>81</v>
      </c>
      <c r="I524" s="12" t="s">
        <v>55</v>
      </c>
      <c r="J524" s="12" t="s">
        <v>136</v>
      </c>
      <c r="K524" s="12" t="s">
        <v>57</v>
      </c>
      <c r="L524" s="14" t="n">
        <v>958210.79</v>
      </c>
      <c r="M524" s="12" t="s">
        <v>83</v>
      </c>
    </row>
    <row r="525" customFormat="false" ht="15" hidden="false" customHeight="false" outlineLevel="0" collapsed="false">
      <c r="C525" s="12" t="s">
        <v>6</v>
      </c>
      <c r="D525" s="13" t="n">
        <v>2601102</v>
      </c>
      <c r="E525" s="13" t="n">
        <v>2023</v>
      </c>
      <c r="F525" s="12" t="s">
        <v>112</v>
      </c>
      <c r="G525" s="12" t="s">
        <v>168</v>
      </c>
      <c r="H525" s="12" t="s">
        <v>81</v>
      </c>
      <c r="I525" s="12" t="s">
        <v>55</v>
      </c>
      <c r="J525" s="12" t="s">
        <v>113</v>
      </c>
      <c r="K525" s="12" t="s">
        <v>57</v>
      </c>
      <c r="L525" s="14" t="n">
        <v>1351888.61</v>
      </c>
      <c r="M525" s="12" t="s">
        <v>83</v>
      </c>
    </row>
    <row r="526" customFormat="false" ht="15" hidden="false" customHeight="false" outlineLevel="0" collapsed="false">
      <c r="C526" s="12" t="s">
        <v>6</v>
      </c>
      <c r="D526" s="13" t="n">
        <v>2601102</v>
      </c>
      <c r="E526" s="13" t="n">
        <v>2023</v>
      </c>
      <c r="F526" s="12" t="s">
        <v>137</v>
      </c>
      <c r="G526" s="12" t="s">
        <v>168</v>
      </c>
      <c r="H526" s="12" t="s">
        <v>81</v>
      </c>
      <c r="I526" s="12" t="s">
        <v>55</v>
      </c>
      <c r="J526" s="12" t="s">
        <v>138</v>
      </c>
      <c r="K526" s="12" t="s">
        <v>57</v>
      </c>
      <c r="L526" s="14" t="n">
        <v>925272.83</v>
      </c>
      <c r="M526" s="12" t="s">
        <v>83</v>
      </c>
    </row>
    <row r="527" customFormat="false" ht="15" hidden="false" customHeight="false" outlineLevel="0" collapsed="false">
      <c r="C527" s="12" t="s">
        <v>6</v>
      </c>
      <c r="D527" s="13" t="n">
        <v>2601102</v>
      </c>
      <c r="E527" s="13" t="n">
        <v>2023</v>
      </c>
      <c r="F527" s="12" t="s">
        <v>114</v>
      </c>
      <c r="G527" s="12" t="s">
        <v>168</v>
      </c>
      <c r="H527" s="12" t="s">
        <v>81</v>
      </c>
      <c r="I527" s="12" t="s">
        <v>55</v>
      </c>
      <c r="J527" s="12" t="s">
        <v>115</v>
      </c>
      <c r="K527" s="12" t="s">
        <v>57</v>
      </c>
      <c r="L527" s="14" t="n">
        <v>4291756.07</v>
      </c>
      <c r="M527" s="12" t="s">
        <v>83</v>
      </c>
    </row>
    <row r="528" customFormat="false" ht="15" hidden="false" customHeight="false" outlineLevel="0" collapsed="false">
      <c r="C528" s="12" t="s">
        <v>6</v>
      </c>
      <c r="D528" s="13" t="n">
        <v>2601102</v>
      </c>
      <c r="E528" s="13" t="n">
        <v>2024</v>
      </c>
      <c r="F528" s="12" t="s">
        <v>45</v>
      </c>
      <c r="G528" s="12" t="s">
        <v>169</v>
      </c>
      <c r="H528" s="12" t="s">
        <v>47</v>
      </c>
      <c r="I528" s="12" t="s">
        <v>48</v>
      </c>
      <c r="J528" s="12" t="s">
        <v>140</v>
      </c>
      <c r="K528" s="12" t="s">
        <v>50</v>
      </c>
      <c r="L528" s="14" t="n">
        <v>406750338.2</v>
      </c>
      <c r="M528" s="12" t="s">
        <v>79</v>
      </c>
    </row>
    <row r="529" customFormat="false" ht="15" hidden="false" customHeight="false" outlineLevel="0" collapsed="false">
      <c r="C529" s="12" t="s">
        <v>6</v>
      </c>
      <c r="D529" s="13" t="n">
        <v>2601102</v>
      </c>
      <c r="E529" s="13" t="n">
        <v>2024</v>
      </c>
      <c r="F529" s="12" t="s">
        <v>51</v>
      </c>
      <c r="G529" s="12" t="s">
        <v>169</v>
      </c>
      <c r="H529" s="12" t="s">
        <v>47</v>
      </c>
      <c r="I529" s="12" t="s">
        <v>48</v>
      </c>
      <c r="J529" s="12" t="s">
        <v>140</v>
      </c>
      <c r="K529" s="12" t="s">
        <v>52</v>
      </c>
      <c r="L529" s="14" t="n">
        <v>23207682.45</v>
      </c>
      <c r="M529" s="12" t="s">
        <v>79</v>
      </c>
    </row>
    <row r="530" customFormat="false" ht="15" hidden="false" customHeight="false" outlineLevel="0" collapsed="false">
      <c r="C530" s="12" t="s">
        <v>6</v>
      </c>
      <c r="D530" s="13" t="n">
        <v>2601102</v>
      </c>
      <c r="E530" s="13" t="n">
        <v>2024</v>
      </c>
      <c r="F530" s="12" t="s">
        <v>150</v>
      </c>
      <c r="G530" s="12" t="s">
        <v>169</v>
      </c>
      <c r="H530" s="12" t="s">
        <v>47</v>
      </c>
      <c r="I530" s="12" t="s">
        <v>48</v>
      </c>
      <c r="J530" s="12" t="s">
        <v>140</v>
      </c>
      <c r="K530" s="12" t="s">
        <v>151</v>
      </c>
      <c r="L530" s="14" t="n">
        <v>227714.97</v>
      </c>
      <c r="M530" s="12" t="s">
        <v>79</v>
      </c>
    </row>
    <row r="531" customFormat="false" ht="15" hidden="false" customHeight="false" outlineLevel="0" collapsed="false">
      <c r="C531" s="12" t="s">
        <v>6</v>
      </c>
      <c r="D531" s="13" t="n">
        <v>2601102</v>
      </c>
      <c r="E531" s="13" t="n">
        <v>2024</v>
      </c>
      <c r="F531" s="12" t="s">
        <v>53</v>
      </c>
      <c r="G531" s="12" t="s">
        <v>169</v>
      </c>
      <c r="H531" s="12" t="s">
        <v>54</v>
      </c>
      <c r="I531" s="12" t="s">
        <v>55</v>
      </c>
      <c r="J531" s="12" t="s">
        <v>56</v>
      </c>
      <c r="K531" s="12" t="s">
        <v>57</v>
      </c>
      <c r="L531" s="14" t="n">
        <v>399934864.27</v>
      </c>
      <c r="M531" s="12" t="s">
        <v>79</v>
      </c>
    </row>
    <row r="532" customFormat="false" ht="15" hidden="false" customHeight="false" outlineLevel="0" collapsed="false">
      <c r="C532" s="12" t="s">
        <v>6</v>
      </c>
      <c r="D532" s="13" t="n">
        <v>2601102</v>
      </c>
      <c r="E532" s="13" t="n">
        <v>2024</v>
      </c>
      <c r="F532" s="12" t="s">
        <v>58</v>
      </c>
      <c r="G532" s="12" t="s">
        <v>169</v>
      </c>
      <c r="H532" s="12" t="s">
        <v>54</v>
      </c>
      <c r="I532" s="12" t="s">
        <v>55</v>
      </c>
      <c r="J532" s="12" t="s">
        <v>56</v>
      </c>
      <c r="K532" s="12" t="s">
        <v>59</v>
      </c>
      <c r="L532" s="14" t="n">
        <v>399934864.27</v>
      </c>
      <c r="M532" s="12" t="s">
        <v>79</v>
      </c>
    </row>
    <row r="533" customFormat="false" ht="15" hidden="false" customHeight="false" outlineLevel="0" collapsed="false">
      <c r="C533" s="12" t="s">
        <v>6</v>
      </c>
      <c r="D533" s="13" t="n">
        <v>2601102</v>
      </c>
      <c r="E533" s="13" t="n">
        <v>2024</v>
      </c>
      <c r="F533" s="12" t="s">
        <v>60</v>
      </c>
      <c r="G533" s="12" t="s">
        <v>169</v>
      </c>
      <c r="H533" s="12" t="s">
        <v>54</v>
      </c>
      <c r="I533" s="12" t="s">
        <v>55</v>
      </c>
      <c r="J533" s="12" t="s">
        <v>56</v>
      </c>
      <c r="K533" s="12" t="s">
        <v>61</v>
      </c>
      <c r="L533" s="14" t="n">
        <v>395507881.72</v>
      </c>
      <c r="M533" s="12" t="s">
        <v>79</v>
      </c>
    </row>
    <row r="534" customFormat="false" ht="15" hidden="false" customHeight="false" outlineLevel="0" collapsed="false">
      <c r="C534" s="12" t="s">
        <v>6</v>
      </c>
      <c r="D534" s="13" t="n">
        <v>2601102</v>
      </c>
      <c r="E534" s="13" t="n">
        <v>2024</v>
      </c>
      <c r="F534" s="12" t="s">
        <v>80</v>
      </c>
      <c r="G534" s="12" t="s">
        <v>169</v>
      </c>
      <c r="H534" s="12" t="s">
        <v>81</v>
      </c>
      <c r="I534" s="12" t="s">
        <v>55</v>
      </c>
      <c r="J534" s="12" t="s">
        <v>82</v>
      </c>
      <c r="K534" s="12" t="s">
        <v>57</v>
      </c>
      <c r="L534" s="14" t="n">
        <v>368226167.64</v>
      </c>
      <c r="M534" s="12" t="s">
        <v>83</v>
      </c>
    </row>
    <row r="535" customFormat="false" ht="15" hidden="false" customHeight="false" outlineLevel="0" collapsed="false">
      <c r="C535" s="12" t="s">
        <v>6</v>
      </c>
      <c r="D535" s="13" t="n">
        <v>2601102</v>
      </c>
      <c r="E535" s="13" t="n">
        <v>2024</v>
      </c>
      <c r="F535" s="12" t="s">
        <v>84</v>
      </c>
      <c r="G535" s="12" t="s">
        <v>169</v>
      </c>
      <c r="H535" s="12" t="s">
        <v>81</v>
      </c>
      <c r="I535" s="12" t="s">
        <v>55</v>
      </c>
      <c r="J535" s="12" t="s">
        <v>82</v>
      </c>
      <c r="K535" s="12" t="s">
        <v>59</v>
      </c>
      <c r="L535" s="14" t="n">
        <v>368226167.64</v>
      </c>
      <c r="M535" s="12" t="s">
        <v>83</v>
      </c>
    </row>
    <row r="536" customFormat="false" ht="15" hidden="false" customHeight="false" outlineLevel="0" collapsed="false">
      <c r="C536" s="12" t="s">
        <v>6</v>
      </c>
      <c r="D536" s="13" t="n">
        <v>2601102</v>
      </c>
      <c r="E536" s="13" t="n">
        <v>2024</v>
      </c>
      <c r="F536" s="12" t="s">
        <v>85</v>
      </c>
      <c r="G536" s="12" t="s">
        <v>169</v>
      </c>
      <c r="H536" s="12" t="s">
        <v>81</v>
      </c>
      <c r="I536" s="12" t="s">
        <v>55</v>
      </c>
      <c r="J536" s="12" t="s">
        <v>82</v>
      </c>
      <c r="K536" s="12" t="s">
        <v>61</v>
      </c>
      <c r="L536" s="14" t="n">
        <v>366069815.88</v>
      </c>
      <c r="M536" s="12" t="s">
        <v>83</v>
      </c>
    </row>
    <row r="537" customFormat="false" ht="15" hidden="false" customHeight="false" outlineLevel="0" collapsed="false">
      <c r="C537" s="12" t="s">
        <v>6</v>
      </c>
      <c r="D537" s="13" t="n">
        <v>2601102</v>
      </c>
      <c r="E537" s="13" t="n">
        <v>2024</v>
      </c>
      <c r="F537" s="12" t="s">
        <v>141</v>
      </c>
      <c r="G537" s="12" t="s">
        <v>169</v>
      </c>
      <c r="H537" s="12" t="s">
        <v>47</v>
      </c>
      <c r="I537" s="12" t="s">
        <v>142</v>
      </c>
      <c r="J537" s="12" t="s">
        <v>143</v>
      </c>
      <c r="K537" s="12" t="s">
        <v>50</v>
      </c>
      <c r="L537" s="14" t="n">
        <v>29547787.44</v>
      </c>
      <c r="M537" s="12" t="s">
        <v>79</v>
      </c>
    </row>
    <row r="538" customFormat="false" ht="15" hidden="false" customHeight="false" outlineLevel="0" collapsed="false">
      <c r="C538" s="12" t="s">
        <v>6</v>
      </c>
      <c r="D538" s="13" t="n">
        <v>2601102</v>
      </c>
      <c r="E538" s="13" t="n">
        <v>2024</v>
      </c>
      <c r="F538" s="12" t="s">
        <v>144</v>
      </c>
      <c r="G538" s="12" t="s">
        <v>169</v>
      </c>
      <c r="H538" s="12" t="s">
        <v>47</v>
      </c>
      <c r="I538" s="12" t="s">
        <v>145</v>
      </c>
      <c r="J538" s="12" t="s">
        <v>146</v>
      </c>
      <c r="K538" s="12" t="s">
        <v>50</v>
      </c>
      <c r="L538" s="14" t="n">
        <v>377202550.76</v>
      </c>
      <c r="M538" s="12" t="s">
        <v>79</v>
      </c>
    </row>
    <row r="539" customFormat="false" ht="15" hidden="false" customHeight="false" outlineLevel="0" collapsed="false">
      <c r="C539" s="12" t="s">
        <v>6</v>
      </c>
      <c r="D539" s="13" t="n">
        <v>2601102</v>
      </c>
      <c r="E539" s="13" t="n">
        <v>2024</v>
      </c>
      <c r="F539" s="12" t="s">
        <v>62</v>
      </c>
      <c r="G539" s="12" t="s">
        <v>169</v>
      </c>
      <c r="H539" s="12" t="s">
        <v>47</v>
      </c>
      <c r="I539" s="12" t="s">
        <v>117</v>
      </c>
      <c r="J539" s="12" t="s">
        <v>118</v>
      </c>
      <c r="K539" s="12" t="s">
        <v>50</v>
      </c>
      <c r="L539" s="14" t="n">
        <v>26108586.75</v>
      </c>
      <c r="M539" s="12" t="s">
        <v>79</v>
      </c>
    </row>
    <row r="540" customFormat="false" ht="15" hidden="false" customHeight="false" outlineLevel="0" collapsed="false">
      <c r="C540" s="12" t="s">
        <v>6</v>
      </c>
      <c r="D540" s="13" t="n">
        <v>2601102</v>
      </c>
      <c r="E540" s="13" t="n">
        <v>2024</v>
      </c>
      <c r="F540" s="12" t="s">
        <v>65</v>
      </c>
      <c r="G540" s="12" t="s">
        <v>169</v>
      </c>
      <c r="H540" s="12" t="s">
        <v>47</v>
      </c>
      <c r="I540" s="12" t="s">
        <v>119</v>
      </c>
      <c r="J540" s="12" t="s">
        <v>120</v>
      </c>
      <c r="K540" s="12" t="s">
        <v>50</v>
      </c>
      <c r="L540" s="14" t="n">
        <v>298807551.15</v>
      </c>
      <c r="M540" s="12" t="s">
        <v>79</v>
      </c>
    </row>
    <row r="541" customFormat="false" ht="15" hidden="false" customHeight="false" outlineLevel="0" collapsed="false">
      <c r="C541" s="12" t="s">
        <v>6</v>
      </c>
      <c r="D541" s="13" t="n">
        <v>2601102</v>
      </c>
      <c r="E541" s="13" t="n">
        <v>2024</v>
      </c>
      <c r="F541" s="12" t="s">
        <v>68</v>
      </c>
      <c r="G541" s="12" t="s">
        <v>169</v>
      </c>
      <c r="H541" s="12" t="s">
        <v>47</v>
      </c>
      <c r="I541" s="12" t="s">
        <v>121</v>
      </c>
      <c r="J541" s="12" t="s">
        <v>122</v>
      </c>
      <c r="K541" s="12" t="s">
        <v>50</v>
      </c>
      <c r="L541" s="14" t="n">
        <v>2253449.01</v>
      </c>
      <c r="M541" s="12" t="s">
        <v>79</v>
      </c>
    </row>
    <row r="542" customFormat="false" ht="15" hidden="false" customHeight="false" outlineLevel="0" collapsed="false">
      <c r="C542" s="12" t="s">
        <v>6</v>
      </c>
      <c r="D542" s="13" t="n">
        <v>2601102</v>
      </c>
      <c r="E542" s="13" t="n">
        <v>2024</v>
      </c>
      <c r="F542" s="12" t="s">
        <v>71</v>
      </c>
      <c r="G542" s="12" t="s">
        <v>169</v>
      </c>
      <c r="H542" s="12" t="s">
        <v>47</v>
      </c>
      <c r="I542" s="12" t="s">
        <v>123</v>
      </c>
      <c r="J542" s="12" t="s">
        <v>124</v>
      </c>
      <c r="K542" s="12" t="s">
        <v>50</v>
      </c>
      <c r="L542" s="14" t="n">
        <v>187534823.75</v>
      </c>
      <c r="M542" s="12" t="s">
        <v>79</v>
      </c>
    </row>
    <row r="543" customFormat="false" ht="15" hidden="false" customHeight="false" outlineLevel="0" collapsed="false">
      <c r="C543" s="12" t="s">
        <v>6</v>
      </c>
      <c r="D543" s="13" t="n">
        <v>2601102</v>
      </c>
      <c r="E543" s="13" t="n">
        <v>2024</v>
      </c>
      <c r="F543" s="12" t="s">
        <v>71</v>
      </c>
      <c r="G543" s="12" t="s">
        <v>169</v>
      </c>
      <c r="H543" s="12" t="s">
        <v>47</v>
      </c>
      <c r="I543" s="12" t="s">
        <v>125</v>
      </c>
      <c r="J543" s="12" t="s">
        <v>126</v>
      </c>
      <c r="K543" s="12" t="s">
        <v>50</v>
      </c>
      <c r="L543" s="14" t="n">
        <v>35539532.26</v>
      </c>
      <c r="M543" s="12" t="s">
        <v>79</v>
      </c>
    </row>
    <row r="544" customFormat="false" ht="15" hidden="false" customHeight="false" outlineLevel="0" collapsed="false">
      <c r="C544" s="12" t="s">
        <v>6</v>
      </c>
      <c r="D544" s="13" t="n">
        <v>2601102</v>
      </c>
      <c r="E544" s="13" t="n">
        <v>2024</v>
      </c>
      <c r="F544" s="12" t="s">
        <v>74</v>
      </c>
      <c r="G544" s="12" t="s">
        <v>169</v>
      </c>
      <c r="H544" s="12" t="s">
        <v>47</v>
      </c>
      <c r="I544" s="12" t="s">
        <v>127</v>
      </c>
      <c r="J544" s="12" t="s">
        <v>128</v>
      </c>
      <c r="K544" s="12" t="s">
        <v>50</v>
      </c>
      <c r="L544" s="14" t="n">
        <v>1822356.51</v>
      </c>
      <c r="M544" s="12" t="s">
        <v>79</v>
      </c>
    </row>
    <row r="545" customFormat="false" ht="15" hidden="false" customHeight="false" outlineLevel="0" collapsed="false">
      <c r="C545" s="12" t="s">
        <v>6</v>
      </c>
      <c r="D545" s="13" t="n">
        <v>2601102</v>
      </c>
      <c r="E545" s="13" t="n">
        <v>2024</v>
      </c>
      <c r="F545" s="12" t="s">
        <v>74</v>
      </c>
      <c r="G545" s="12" t="s">
        <v>169</v>
      </c>
      <c r="H545" s="12" t="s">
        <v>47</v>
      </c>
      <c r="I545" s="12" t="s">
        <v>129</v>
      </c>
      <c r="J545" s="12" t="s">
        <v>130</v>
      </c>
      <c r="K545" s="12" t="s">
        <v>50</v>
      </c>
      <c r="L545" s="14" t="n">
        <v>431092.5</v>
      </c>
      <c r="M545" s="12" t="s">
        <v>79</v>
      </c>
    </row>
    <row r="546" customFormat="false" ht="15" hidden="false" customHeight="false" outlineLevel="0" collapsed="false">
      <c r="C546" s="12" t="s">
        <v>6</v>
      </c>
      <c r="D546" s="13" t="n">
        <v>2601102</v>
      </c>
      <c r="E546" s="13" t="n">
        <v>2024</v>
      </c>
      <c r="F546" s="12" t="s">
        <v>86</v>
      </c>
      <c r="G546" s="12" t="s">
        <v>169</v>
      </c>
      <c r="H546" s="12" t="s">
        <v>81</v>
      </c>
      <c r="I546" s="12" t="s">
        <v>55</v>
      </c>
      <c r="J546" s="12" t="s">
        <v>87</v>
      </c>
      <c r="K546" s="12" t="s">
        <v>57</v>
      </c>
      <c r="L546" s="14" t="n">
        <v>8454611.47</v>
      </c>
      <c r="M546" s="12" t="s">
        <v>83</v>
      </c>
    </row>
    <row r="547" customFormat="false" ht="15" hidden="false" customHeight="false" outlineLevel="0" collapsed="false">
      <c r="C547" s="12" t="s">
        <v>6</v>
      </c>
      <c r="D547" s="13" t="n">
        <v>2601102</v>
      </c>
      <c r="E547" s="13" t="n">
        <v>2024</v>
      </c>
      <c r="F547" s="12" t="s">
        <v>157</v>
      </c>
      <c r="G547" s="12" t="s">
        <v>169</v>
      </c>
      <c r="H547" s="12" t="s">
        <v>81</v>
      </c>
      <c r="I547" s="12" t="s">
        <v>55</v>
      </c>
      <c r="J547" s="12" t="s">
        <v>158</v>
      </c>
      <c r="K547" s="12" t="s">
        <v>57</v>
      </c>
      <c r="L547" s="14" t="n">
        <v>2689876.95</v>
      </c>
      <c r="M547" s="12" t="s">
        <v>83</v>
      </c>
    </row>
    <row r="548" customFormat="false" ht="15" hidden="false" customHeight="false" outlineLevel="0" collapsed="false">
      <c r="C548" s="12" t="s">
        <v>6</v>
      </c>
      <c r="D548" s="13" t="n">
        <v>2601102</v>
      </c>
      <c r="E548" s="13" t="n">
        <v>2024</v>
      </c>
      <c r="F548" s="12" t="s">
        <v>88</v>
      </c>
      <c r="G548" s="12" t="s">
        <v>169</v>
      </c>
      <c r="H548" s="12" t="s">
        <v>81</v>
      </c>
      <c r="I548" s="12" t="s">
        <v>55</v>
      </c>
      <c r="J548" s="12" t="s">
        <v>89</v>
      </c>
      <c r="K548" s="12" t="s">
        <v>57</v>
      </c>
      <c r="L548" s="14" t="n">
        <v>27413758.92</v>
      </c>
      <c r="M548" s="12" t="s">
        <v>83</v>
      </c>
    </row>
    <row r="549" customFormat="false" ht="15" hidden="false" customHeight="false" outlineLevel="0" collapsed="false">
      <c r="C549" s="12" t="s">
        <v>6</v>
      </c>
      <c r="D549" s="13" t="n">
        <v>2601102</v>
      </c>
      <c r="E549" s="13" t="n">
        <v>2024</v>
      </c>
      <c r="F549" s="12" t="s">
        <v>131</v>
      </c>
      <c r="G549" s="12" t="s">
        <v>169</v>
      </c>
      <c r="H549" s="12" t="s">
        <v>81</v>
      </c>
      <c r="I549" s="12" t="s">
        <v>55</v>
      </c>
      <c r="J549" s="12" t="s">
        <v>132</v>
      </c>
      <c r="K549" s="12" t="s">
        <v>57</v>
      </c>
      <c r="L549" s="14" t="n">
        <v>100000</v>
      </c>
      <c r="M549" s="12" t="s">
        <v>83</v>
      </c>
    </row>
    <row r="550" customFormat="false" ht="15" hidden="false" customHeight="false" outlineLevel="0" collapsed="false">
      <c r="C550" s="12" t="s">
        <v>6</v>
      </c>
      <c r="D550" s="13" t="n">
        <v>2601102</v>
      </c>
      <c r="E550" s="13" t="n">
        <v>2024</v>
      </c>
      <c r="F550" s="12" t="s">
        <v>90</v>
      </c>
      <c r="G550" s="12" t="s">
        <v>169</v>
      </c>
      <c r="H550" s="12" t="s">
        <v>81</v>
      </c>
      <c r="I550" s="12" t="s">
        <v>55</v>
      </c>
      <c r="J550" s="12" t="s">
        <v>91</v>
      </c>
      <c r="K550" s="12" t="s">
        <v>57</v>
      </c>
      <c r="L550" s="14" t="n">
        <v>5771720.32</v>
      </c>
      <c r="M550" s="12" t="s">
        <v>83</v>
      </c>
    </row>
    <row r="551" customFormat="false" ht="15" hidden="false" customHeight="false" outlineLevel="0" collapsed="false">
      <c r="C551" s="12" t="s">
        <v>6</v>
      </c>
      <c r="D551" s="13" t="n">
        <v>2601102</v>
      </c>
      <c r="E551" s="13" t="n">
        <v>2024</v>
      </c>
      <c r="F551" s="12" t="s">
        <v>92</v>
      </c>
      <c r="G551" s="12" t="s">
        <v>169</v>
      </c>
      <c r="H551" s="12" t="s">
        <v>81</v>
      </c>
      <c r="I551" s="12" t="s">
        <v>55</v>
      </c>
      <c r="J551" s="12" t="s">
        <v>93</v>
      </c>
      <c r="K551" s="12" t="s">
        <v>57</v>
      </c>
      <c r="L551" s="14" t="n">
        <v>31261448.85</v>
      </c>
      <c r="M551" s="12" t="s">
        <v>83</v>
      </c>
    </row>
    <row r="552" customFormat="false" ht="15" hidden="false" customHeight="false" outlineLevel="0" collapsed="false">
      <c r="C552" s="12" t="s">
        <v>6</v>
      </c>
      <c r="D552" s="13" t="n">
        <v>2601102</v>
      </c>
      <c r="E552" s="13" t="n">
        <v>2024</v>
      </c>
      <c r="F552" s="12" t="s">
        <v>94</v>
      </c>
      <c r="G552" s="12" t="s">
        <v>169</v>
      </c>
      <c r="H552" s="12" t="s">
        <v>81</v>
      </c>
      <c r="I552" s="12" t="s">
        <v>55</v>
      </c>
      <c r="J552" s="12" t="s">
        <v>95</v>
      </c>
      <c r="K552" s="12" t="s">
        <v>57</v>
      </c>
      <c r="L552" s="14" t="n">
        <v>62103692.64</v>
      </c>
      <c r="M552" s="12" t="s">
        <v>83</v>
      </c>
    </row>
    <row r="553" customFormat="false" ht="15" hidden="false" customHeight="false" outlineLevel="0" collapsed="false">
      <c r="C553" s="12" t="s">
        <v>6</v>
      </c>
      <c r="D553" s="13" t="n">
        <v>2601102</v>
      </c>
      <c r="E553" s="13" t="n">
        <v>2024</v>
      </c>
      <c r="F553" s="12" t="s">
        <v>98</v>
      </c>
      <c r="G553" s="12" t="s">
        <v>169</v>
      </c>
      <c r="H553" s="12" t="s">
        <v>81</v>
      </c>
      <c r="I553" s="12" t="s">
        <v>55</v>
      </c>
      <c r="J553" s="12" t="s">
        <v>99</v>
      </c>
      <c r="K553" s="12" t="s">
        <v>57</v>
      </c>
      <c r="L553" s="14" t="n">
        <v>122875373.21</v>
      </c>
      <c r="M553" s="12" t="s">
        <v>83</v>
      </c>
    </row>
    <row r="554" customFormat="false" ht="15" hidden="false" customHeight="false" outlineLevel="0" collapsed="false">
      <c r="C554" s="12" t="s">
        <v>6</v>
      </c>
      <c r="D554" s="13" t="n">
        <v>2601102</v>
      </c>
      <c r="E554" s="13" t="n">
        <v>2024</v>
      </c>
      <c r="F554" s="12" t="s">
        <v>100</v>
      </c>
      <c r="G554" s="12" t="s">
        <v>169</v>
      </c>
      <c r="H554" s="12" t="s">
        <v>81</v>
      </c>
      <c r="I554" s="12" t="s">
        <v>55</v>
      </c>
      <c r="J554" s="12" t="s">
        <v>101</v>
      </c>
      <c r="K554" s="12" t="s">
        <v>57</v>
      </c>
      <c r="L554" s="14" t="n">
        <v>10706252.99</v>
      </c>
      <c r="M554" s="12" t="s">
        <v>83</v>
      </c>
    </row>
    <row r="555" customFormat="false" ht="15" hidden="false" customHeight="false" outlineLevel="0" collapsed="false">
      <c r="C555" s="12" t="s">
        <v>6</v>
      </c>
      <c r="D555" s="13" t="n">
        <v>2601102</v>
      </c>
      <c r="E555" s="13" t="n">
        <v>2024</v>
      </c>
      <c r="F555" s="12" t="s">
        <v>133</v>
      </c>
      <c r="G555" s="12" t="s">
        <v>169</v>
      </c>
      <c r="H555" s="12" t="s">
        <v>81</v>
      </c>
      <c r="I555" s="12" t="s">
        <v>55</v>
      </c>
      <c r="J555" s="12" t="s">
        <v>134</v>
      </c>
      <c r="K555" s="12" t="s">
        <v>57</v>
      </c>
      <c r="L555" s="14" t="n">
        <v>306217.69</v>
      </c>
      <c r="M555" s="12" t="s">
        <v>83</v>
      </c>
    </row>
    <row r="556" customFormat="false" ht="15" hidden="false" customHeight="false" outlineLevel="0" collapsed="false">
      <c r="C556" s="12" t="s">
        <v>6</v>
      </c>
      <c r="D556" s="13" t="n">
        <v>2601102</v>
      </c>
      <c r="E556" s="13" t="n">
        <v>2024</v>
      </c>
      <c r="F556" s="12" t="s">
        <v>102</v>
      </c>
      <c r="G556" s="12" t="s">
        <v>169</v>
      </c>
      <c r="H556" s="12" t="s">
        <v>81</v>
      </c>
      <c r="I556" s="12" t="s">
        <v>55</v>
      </c>
      <c r="J556" s="12" t="s">
        <v>103</v>
      </c>
      <c r="K556" s="12" t="s">
        <v>57</v>
      </c>
      <c r="L556" s="14" t="n">
        <v>70276809.99</v>
      </c>
      <c r="M556" s="12" t="s">
        <v>83</v>
      </c>
    </row>
    <row r="557" customFormat="false" ht="15" hidden="false" customHeight="false" outlineLevel="0" collapsed="false">
      <c r="C557" s="12" t="s">
        <v>6</v>
      </c>
      <c r="D557" s="13" t="n">
        <v>2601102</v>
      </c>
      <c r="E557" s="13" t="n">
        <v>2024</v>
      </c>
      <c r="F557" s="12" t="s">
        <v>104</v>
      </c>
      <c r="G557" s="12" t="s">
        <v>169</v>
      </c>
      <c r="H557" s="12" t="s">
        <v>81</v>
      </c>
      <c r="I557" s="12" t="s">
        <v>55</v>
      </c>
      <c r="J557" s="12" t="s">
        <v>105</v>
      </c>
      <c r="K557" s="12" t="s">
        <v>57</v>
      </c>
      <c r="L557" s="14" t="n">
        <v>1883573.27</v>
      </c>
      <c r="M557" s="12" t="s">
        <v>83</v>
      </c>
    </row>
    <row r="558" customFormat="false" ht="15" hidden="false" customHeight="false" outlineLevel="0" collapsed="false">
      <c r="C558" s="12" t="s">
        <v>6</v>
      </c>
      <c r="D558" s="13" t="n">
        <v>2601102</v>
      </c>
      <c r="E558" s="13" t="n">
        <v>2024</v>
      </c>
      <c r="F558" s="12" t="s">
        <v>106</v>
      </c>
      <c r="G558" s="12" t="s">
        <v>169</v>
      </c>
      <c r="H558" s="12" t="s">
        <v>81</v>
      </c>
      <c r="I558" s="12" t="s">
        <v>55</v>
      </c>
      <c r="J558" s="12" t="s">
        <v>107</v>
      </c>
      <c r="K558" s="12" t="s">
        <v>57</v>
      </c>
      <c r="L558" s="14" t="n">
        <v>2927103.4</v>
      </c>
      <c r="M558" s="12" t="s">
        <v>83</v>
      </c>
    </row>
    <row r="559" customFormat="false" ht="15" hidden="false" customHeight="false" outlineLevel="0" collapsed="false">
      <c r="C559" s="12" t="s">
        <v>6</v>
      </c>
      <c r="D559" s="13" t="n">
        <v>2601102</v>
      </c>
      <c r="E559" s="13" t="n">
        <v>2024</v>
      </c>
      <c r="F559" s="12" t="s">
        <v>108</v>
      </c>
      <c r="G559" s="12" t="s">
        <v>169</v>
      </c>
      <c r="H559" s="12" t="s">
        <v>81</v>
      </c>
      <c r="I559" s="12" t="s">
        <v>55</v>
      </c>
      <c r="J559" s="12" t="s">
        <v>109</v>
      </c>
      <c r="K559" s="12" t="s">
        <v>57</v>
      </c>
      <c r="L559" s="14" t="n">
        <v>5536233.01</v>
      </c>
      <c r="M559" s="12" t="s">
        <v>83</v>
      </c>
    </row>
    <row r="560" customFormat="false" ht="15" hidden="false" customHeight="false" outlineLevel="0" collapsed="false">
      <c r="C560" s="12" t="s">
        <v>6</v>
      </c>
      <c r="D560" s="13" t="n">
        <v>2601102</v>
      </c>
      <c r="E560" s="13" t="n">
        <v>2024</v>
      </c>
      <c r="F560" s="12" t="s">
        <v>162</v>
      </c>
      <c r="G560" s="12" t="s">
        <v>169</v>
      </c>
      <c r="H560" s="12" t="s">
        <v>81</v>
      </c>
      <c r="I560" s="12" t="s">
        <v>55</v>
      </c>
      <c r="J560" s="12" t="s">
        <v>163</v>
      </c>
      <c r="K560" s="12" t="s">
        <v>57</v>
      </c>
      <c r="L560" s="14" t="n">
        <v>830721.01</v>
      </c>
      <c r="M560" s="12" t="s">
        <v>83</v>
      </c>
    </row>
    <row r="561" customFormat="false" ht="15" hidden="false" customHeight="false" outlineLevel="0" collapsed="false">
      <c r="C561" s="12" t="s">
        <v>6</v>
      </c>
      <c r="D561" s="13" t="n">
        <v>2601102</v>
      </c>
      <c r="E561" s="13" t="n">
        <v>2024</v>
      </c>
      <c r="F561" s="12" t="s">
        <v>135</v>
      </c>
      <c r="G561" s="12" t="s">
        <v>169</v>
      </c>
      <c r="H561" s="12" t="s">
        <v>81</v>
      </c>
      <c r="I561" s="12" t="s">
        <v>55</v>
      </c>
      <c r="J561" s="12" t="s">
        <v>136</v>
      </c>
      <c r="K561" s="12" t="s">
        <v>57</v>
      </c>
      <c r="L561" s="14" t="n">
        <v>2871233.6</v>
      </c>
      <c r="M561" s="12" t="s">
        <v>83</v>
      </c>
    </row>
    <row r="562" customFormat="false" ht="15" hidden="false" customHeight="false" outlineLevel="0" collapsed="false">
      <c r="C562" s="12" t="s">
        <v>6</v>
      </c>
      <c r="D562" s="13" t="n">
        <v>2601102</v>
      </c>
      <c r="E562" s="13" t="n">
        <v>2024</v>
      </c>
      <c r="F562" s="12" t="s">
        <v>112</v>
      </c>
      <c r="G562" s="12" t="s">
        <v>169</v>
      </c>
      <c r="H562" s="12" t="s">
        <v>81</v>
      </c>
      <c r="I562" s="12" t="s">
        <v>55</v>
      </c>
      <c r="J562" s="12" t="s">
        <v>113</v>
      </c>
      <c r="K562" s="12" t="s">
        <v>57</v>
      </c>
      <c r="L562" s="14" t="n">
        <v>1070916.9</v>
      </c>
      <c r="M562" s="12" t="s">
        <v>83</v>
      </c>
    </row>
    <row r="563" customFormat="false" ht="15" hidden="false" customHeight="false" outlineLevel="0" collapsed="false">
      <c r="C563" s="12" t="s">
        <v>6</v>
      </c>
      <c r="D563" s="13" t="n">
        <v>2601102</v>
      </c>
      <c r="E563" s="13" t="n">
        <v>2024</v>
      </c>
      <c r="F563" s="12" t="s">
        <v>137</v>
      </c>
      <c r="G563" s="12" t="s">
        <v>169</v>
      </c>
      <c r="H563" s="12" t="s">
        <v>81</v>
      </c>
      <c r="I563" s="12" t="s">
        <v>55</v>
      </c>
      <c r="J563" s="12" t="s">
        <v>138</v>
      </c>
      <c r="K563" s="12" t="s">
        <v>57</v>
      </c>
      <c r="L563" s="14" t="n">
        <v>772847.11</v>
      </c>
      <c r="M563" s="12" t="s">
        <v>83</v>
      </c>
    </row>
    <row r="564" customFormat="false" ht="15" hidden="false" customHeight="false" outlineLevel="0" collapsed="false">
      <c r="C564" s="12" t="s">
        <v>6</v>
      </c>
      <c r="D564" s="13" t="n">
        <v>2601102</v>
      </c>
      <c r="E564" s="13" t="n">
        <v>2024</v>
      </c>
      <c r="F564" s="12" t="s">
        <v>114</v>
      </c>
      <c r="G564" s="12" t="s">
        <v>169</v>
      </c>
      <c r="H564" s="12" t="s">
        <v>81</v>
      </c>
      <c r="I564" s="12" t="s">
        <v>55</v>
      </c>
      <c r="J564" s="12" t="s">
        <v>115</v>
      </c>
      <c r="K564" s="12" t="s">
        <v>57</v>
      </c>
      <c r="L564" s="14" t="n">
        <v>10373776.31</v>
      </c>
      <c r="M564" s="12" t="s">
        <v>83</v>
      </c>
    </row>
  </sheetData>
  <autoFilter ref="C8:M564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L16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8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37"/>
    <col collapsed="false" customWidth="true" hidden="false" outlineLevel="0" max="12" min="12" style="0" width="48"/>
  </cols>
  <sheetData>
    <row r="3" customFormat="false" ht="19.7" hidden="false" customHeight="false" outlineLevel="0" collapsed="false">
      <c r="C3" s="1" t="s">
        <v>170</v>
      </c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C5" s="3" t="s">
        <v>171</v>
      </c>
    </row>
    <row r="6" customFormat="false" ht="15" hidden="false" customHeight="false" outlineLevel="0" collapsed="false">
      <c r="C6" s="4" t="s">
        <v>172</v>
      </c>
    </row>
    <row r="8" customFormat="false" ht="33.75" hidden="false" customHeight="true" outlineLevel="0" collapsed="false">
      <c r="C8" s="5" t="s">
        <v>35</v>
      </c>
      <c r="D8" s="5" t="s">
        <v>36</v>
      </c>
      <c r="E8" s="5" t="s">
        <v>37</v>
      </c>
      <c r="F8" s="5" t="s">
        <v>173</v>
      </c>
      <c r="G8" s="5" t="s">
        <v>174</v>
      </c>
      <c r="H8" s="5" t="s">
        <v>175</v>
      </c>
      <c r="I8" s="5" t="s">
        <v>4</v>
      </c>
      <c r="J8" s="5" t="s">
        <v>176</v>
      </c>
      <c r="K8" s="5" t="s">
        <v>38</v>
      </c>
      <c r="L8" s="5" t="s">
        <v>177</v>
      </c>
    </row>
    <row r="9" customFormat="false" ht="15" hidden="false" customHeight="false" outlineLevel="0" collapsed="false">
      <c r="C9" s="12" t="s">
        <v>5</v>
      </c>
      <c r="D9" s="12" t="s">
        <v>178</v>
      </c>
      <c r="E9" s="13" t="n">
        <v>2015</v>
      </c>
      <c r="F9" s="15"/>
      <c r="G9" s="12" t="s">
        <v>179</v>
      </c>
      <c r="H9" s="12" t="s">
        <v>180</v>
      </c>
      <c r="I9" s="12" t="s">
        <v>181</v>
      </c>
      <c r="J9" s="14" t="n">
        <v>72625</v>
      </c>
      <c r="K9" s="12" t="s">
        <v>182</v>
      </c>
      <c r="L9" s="12" t="s">
        <v>183</v>
      </c>
    </row>
    <row r="10" customFormat="false" ht="15" hidden="false" customHeight="false" outlineLevel="0" collapsed="false">
      <c r="C10" s="12" t="s">
        <v>5</v>
      </c>
      <c r="D10" s="12" t="s">
        <v>178</v>
      </c>
      <c r="E10" s="13" t="n">
        <v>2016</v>
      </c>
      <c r="F10" s="15"/>
      <c r="G10" s="12" t="s">
        <v>179</v>
      </c>
      <c r="H10" s="12" t="s">
        <v>180</v>
      </c>
      <c r="I10" s="12" t="s">
        <v>181</v>
      </c>
      <c r="J10" s="14" t="n">
        <v>73154</v>
      </c>
      <c r="K10" s="12" t="s">
        <v>182</v>
      </c>
      <c r="L10" s="12" t="s">
        <v>183</v>
      </c>
    </row>
    <row r="11" customFormat="false" ht="15" hidden="false" customHeight="false" outlineLevel="0" collapsed="false">
      <c r="C11" s="12" t="s">
        <v>5</v>
      </c>
      <c r="D11" s="12" t="s">
        <v>178</v>
      </c>
      <c r="E11" s="13" t="n">
        <v>2017</v>
      </c>
      <c r="F11" s="15"/>
      <c r="G11" s="12" t="s">
        <v>179</v>
      </c>
      <c r="H11" s="12" t="s">
        <v>180</v>
      </c>
      <c r="I11" s="12" t="s">
        <v>181</v>
      </c>
      <c r="J11" s="14" t="n">
        <v>73667</v>
      </c>
      <c r="K11" s="12" t="s">
        <v>182</v>
      </c>
      <c r="L11" s="12" t="s">
        <v>183</v>
      </c>
    </row>
    <row r="12" customFormat="false" ht="15" hidden="false" customHeight="false" outlineLevel="0" collapsed="false">
      <c r="C12" s="12" t="s">
        <v>5</v>
      </c>
      <c r="D12" s="12" t="s">
        <v>178</v>
      </c>
      <c r="E12" s="13" t="n">
        <v>2018</v>
      </c>
      <c r="F12" s="15"/>
      <c r="G12" s="12" t="s">
        <v>179</v>
      </c>
      <c r="H12" s="12" t="s">
        <v>180</v>
      </c>
      <c r="I12" s="12" t="s">
        <v>181</v>
      </c>
      <c r="J12" s="14" t="n">
        <v>73844</v>
      </c>
      <c r="K12" s="12" t="s">
        <v>182</v>
      </c>
      <c r="L12" s="12" t="s">
        <v>183</v>
      </c>
    </row>
    <row r="13" customFormat="false" ht="15" hidden="false" customHeight="false" outlineLevel="0" collapsed="false">
      <c r="C13" s="12" t="s">
        <v>5</v>
      </c>
      <c r="D13" s="12" t="s">
        <v>178</v>
      </c>
      <c r="E13" s="13" t="n">
        <v>2019</v>
      </c>
      <c r="F13" s="15"/>
      <c r="G13" s="12" t="s">
        <v>179</v>
      </c>
      <c r="H13" s="12" t="s">
        <v>180</v>
      </c>
      <c r="I13" s="12" t="s">
        <v>181</v>
      </c>
      <c r="J13" s="14" t="n">
        <v>74338</v>
      </c>
      <c r="K13" s="12" t="s">
        <v>182</v>
      </c>
      <c r="L13" s="12" t="s">
        <v>183</v>
      </c>
    </row>
    <row r="14" customFormat="false" ht="15" hidden="false" customHeight="false" outlineLevel="0" collapsed="false">
      <c r="C14" s="12" t="s">
        <v>5</v>
      </c>
      <c r="D14" s="12" t="s">
        <v>178</v>
      </c>
      <c r="E14" s="13" t="n">
        <v>2020</v>
      </c>
      <c r="F14" s="15"/>
      <c r="G14" s="12" t="s">
        <v>179</v>
      </c>
      <c r="H14" s="12" t="s">
        <v>180</v>
      </c>
      <c r="I14" s="12" t="s">
        <v>181</v>
      </c>
      <c r="J14" s="14" t="n">
        <v>74822</v>
      </c>
      <c r="K14" s="12" t="s">
        <v>182</v>
      </c>
      <c r="L14" s="12" t="s">
        <v>183</v>
      </c>
    </row>
    <row r="15" customFormat="false" ht="15" hidden="false" customHeight="false" outlineLevel="0" collapsed="false">
      <c r="C15" s="12" t="s">
        <v>5</v>
      </c>
      <c r="D15" s="12" t="s">
        <v>178</v>
      </c>
      <c r="E15" s="13" t="n">
        <v>2021</v>
      </c>
      <c r="F15" s="15"/>
      <c r="G15" s="12" t="s">
        <v>179</v>
      </c>
      <c r="H15" s="12" t="s">
        <v>180</v>
      </c>
      <c r="I15" s="12" t="s">
        <v>181</v>
      </c>
      <c r="J15" s="14" t="n">
        <v>75295</v>
      </c>
      <c r="K15" s="12" t="s">
        <v>182</v>
      </c>
      <c r="L15" s="12" t="s">
        <v>183</v>
      </c>
    </row>
    <row r="16" customFormat="false" ht="15" hidden="false" customHeight="false" outlineLevel="0" collapsed="false">
      <c r="C16" s="12" t="s">
        <v>5</v>
      </c>
      <c r="D16" s="12" t="s">
        <v>178</v>
      </c>
      <c r="E16" s="13" t="n">
        <v>2024</v>
      </c>
      <c r="F16" s="15"/>
      <c r="G16" s="12" t="s">
        <v>179</v>
      </c>
      <c r="H16" s="12" t="s">
        <v>180</v>
      </c>
      <c r="I16" s="12" t="s">
        <v>181</v>
      </c>
      <c r="J16" s="14" t="n">
        <v>82003</v>
      </c>
      <c r="K16" s="12" t="s">
        <v>182</v>
      </c>
      <c r="L16" s="12" t="s">
        <v>183</v>
      </c>
    </row>
    <row r="17" customFormat="false" ht="15" hidden="false" customHeight="false" outlineLevel="0" collapsed="false">
      <c r="C17" s="12" t="s">
        <v>6</v>
      </c>
      <c r="D17" s="12" t="s">
        <v>184</v>
      </c>
      <c r="E17" s="13" t="n">
        <v>2015</v>
      </c>
      <c r="F17" s="15"/>
      <c r="G17" s="12" t="s">
        <v>179</v>
      </c>
      <c r="H17" s="12" t="s">
        <v>180</v>
      </c>
      <c r="I17" s="12" t="s">
        <v>181</v>
      </c>
      <c r="J17" s="14" t="n">
        <v>82800</v>
      </c>
      <c r="K17" s="12" t="s">
        <v>182</v>
      </c>
      <c r="L17" s="12" t="s">
        <v>183</v>
      </c>
    </row>
    <row r="18" customFormat="false" ht="15" hidden="false" customHeight="false" outlineLevel="0" collapsed="false">
      <c r="C18" s="12" t="s">
        <v>6</v>
      </c>
      <c r="D18" s="12" t="s">
        <v>184</v>
      </c>
      <c r="E18" s="13" t="n">
        <v>2016</v>
      </c>
      <c r="F18" s="15"/>
      <c r="G18" s="12" t="s">
        <v>179</v>
      </c>
      <c r="H18" s="12" t="s">
        <v>180</v>
      </c>
      <c r="I18" s="12" t="s">
        <v>181</v>
      </c>
      <c r="J18" s="14" t="n">
        <v>83287</v>
      </c>
      <c r="K18" s="12" t="s">
        <v>182</v>
      </c>
      <c r="L18" s="12" t="s">
        <v>183</v>
      </c>
    </row>
    <row r="19" customFormat="false" ht="15" hidden="false" customHeight="false" outlineLevel="0" collapsed="false">
      <c r="C19" s="12" t="s">
        <v>6</v>
      </c>
      <c r="D19" s="12" t="s">
        <v>184</v>
      </c>
      <c r="E19" s="13" t="n">
        <v>2017</v>
      </c>
      <c r="F19" s="15"/>
      <c r="G19" s="12" t="s">
        <v>179</v>
      </c>
      <c r="H19" s="12" t="s">
        <v>180</v>
      </c>
      <c r="I19" s="12" t="s">
        <v>181</v>
      </c>
      <c r="J19" s="14" t="n">
        <v>83757</v>
      </c>
      <c r="K19" s="12" t="s">
        <v>182</v>
      </c>
      <c r="L19" s="12" t="s">
        <v>183</v>
      </c>
    </row>
    <row r="20" customFormat="false" ht="15" hidden="false" customHeight="false" outlineLevel="0" collapsed="false">
      <c r="C20" s="12" t="s">
        <v>6</v>
      </c>
      <c r="D20" s="12" t="s">
        <v>184</v>
      </c>
      <c r="E20" s="13" t="n">
        <v>2018</v>
      </c>
      <c r="F20" s="15"/>
      <c r="G20" s="12" t="s">
        <v>179</v>
      </c>
      <c r="H20" s="12" t="s">
        <v>180</v>
      </c>
      <c r="I20" s="12" t="s">
        <v>181</v>
      </c>
      <c r="J20" s="14" t="n">
        <v>83964</v>
      </c>
      <c r="K20" s="12" t="s">
        <v>182</v>
      </c>
      <c r="L20" s="12" t="s">
        <v>183</v>
      </c>
    </row>
    <row r="21" customFormat="false" ht="15" hidden="false" customHeight="false" outlineLevel="0" collapsed="false">
      <c r="C21" s="12" t="s">
        <v>6</v>
      </c>
      <c r="D21" s="12" t="s">
        <v>184</v>
      </c>
      <c r="E21" s="13" t="n">
        <v>2019</v>
      </c>
      <c r="F21" s="15"/>
      <c r="G21" s="12" t="s">
        <v>179</v>
      </c>
      <c r="H21" s="12" t="s">
        <v>180</v>
      </c>
      <c r="I21" s="12" t="s">
        <v>181</v>
      </c>
      <c r="J21" s="14" t="n">
        <v>84418</v>
      </c>
      <c r="K21" s="12" t="s">
        <v>182</v>
      </c>
      <c r="L21" s="12" t="s">
        <v>183</v>
      </c>
    </row>
    <row r="22" customFormat="false" ht="15" hidden="false" customHeight="false" outlineLevel="0" collapsed="false">
      <c r="C22" s="12" t="s">
        <v>6</v>
      </c>
      <c r="D22" s="12" t="s">
        <v>184</v>
      </c>
      <c r="E22" s="13" t="n">
        <v>2020</v>
      </c>
      <c r="F22" s="15"/>
      <c r="G22" s="12" t="s">
        <v>179</v>
      </c>
      <c r="H22" s="12" t="s">
        <v>180</v>
      </c>
      <c r="I22" s="12" t="s">
        <v>181</v>
      </c>
      <c r="J22" s="14" t="n">
        <v>84864</v>
      </c>
      <c r="K22" s="12" t="s">
        <v>182</v>
      </c>
      <c r="L22" s="12" t="s">
        <v>183</v>
      </c>
    </row>
    <row r="23" customFormat="false" ht="15" hidden="false" customHeight="false" outlineLevel="0" collapsed="false">
      <c r="C23" s="12" t="s">
        <v>6</v>
      </c>
      <c r="D23" s="12" t="s">
        <v>184</v>
      </c>
      <c r="E23" s="13" t="n">
        <v>2021</v>
      </c>
      <c r="F23" s="15"/>
      <c r="G23" s="12" t="s">
        <v>179</v>
      </c>
      <c r="H23" s="12" t="s">
        <v>180</v>
      </c>
      <c r="I23" s="12" t="s">
        <v>181</v>
      </c>
      <c r="J23" s="14" t="n">
        <v>85301</v>
      </c>
      <c r="K23" s="12" t="s">
        <v>182</v>
      </c>
      <c r="L23" s="12" t="s">
        <v>183</v>
      </c>
    </row>
    <row r="24" customFormat="false" ht="15" hidden="false" customHeight="false" outlineLevel="0" collapsed="false">
      <c r="C24" s="12" t="s">
        <v>6</v>
      </c>
      <c r="D24" s="12" t="s">
        <v>184</v>
      </c>
      <c r="E24" s="13" t="n">
        <v>2024</v>
      </c>
      <c r="F24" s="15"/>
      <c r="G24" s="12" t="s">
        <v>179</v>
      </c>
      <c r="H24" s="12" t="s">
        <v>180</v>
      </c>
      <c r="I24" s="12" t="s">
        <v>181</v>
      </c>
      <c r="J24" s="14" t="n">
        <v>90104</v>
      </c>
      <c r="K24" s="12" t="s">
        <v>182</v>
      </c>
      <c r="L24" s="12" t="s">
        <v>183</v>
      </c>
    </row>
    <row r="25" customFormat="false" ht="15" hidden="false" customHeight="false" outlineLevel="0" collapsed="false">
      <c r="C25" s="12" t="s">
        <v>5</v>
      </c>
      <c r="D25" s="12" t="s">
        <v>178</v>
      </c>
      <c r="E25" s="13" t="n">
        <v>2022</v>
      </c>
      <c r="F25" s="15"/>
      <c r="G25" s="12" t="s">
        <v>185</v>
      </c>
      <c r="H25" s="12" t="s">
        <v>186</v>
      </c>
      <c r="I25" s="12" t="s">
        <v>181</v>
      </c>
      <c r="J25" s="14" t="n">
        <v>77742</v>
      </c>
      <c r="K25" s="12" t="s">
        <v>187</v>
      </c>
      <c r="L25" s="12" t="s">
        <v>188</v>
      </c>
    </row>
    <row r="26" customFormat="false" ht="15" hidden="false" customHeight="false" outlineLevel="0" collapsed="false">
      <c r="C26" s="12" t="s">
        <v>6</v>
      </c>
      <c r="D26" s="12" t="s">
        <v>184</v>
      </c>
      <c r="E26" s="13" t="n">
        <v>2022</v>
      </c>
      <c r="F26" s="15"/>
      <c r="G26" s="12" t="s">
        <v>185</v>
      </c>
      <c r="H26" s="12" t="s">
        <v>186</v>
      </c>
      <c r="I26" s="12" t="s">
        <v>181</v>
      </c>
      <c r="J26" s="14" t="n">
        <v>85088</v>
      </c>
      <c r="K26" s="12" t="s">
        <v>187</v>
      </c>
      <c r="L26" s="12" t="s">
        <v>188</v>
      </c>
    </row>
    <row r="27" customFormat="false" ht="15" hidden="false" customHeight="false" outlineLevel="0" collapsed="false">
      <c r="C27" s="12" t="s">
        <v>5</v>
      </c>
      <c r="D27" s="12" t="s">
        <v>178</v>
      </c>
      <c r="E27" s="13" t="n">
        <v>2015</v>
      </c>
      <c r="F27" s="15"/>
      <c r="G27" s="12" t="s">
        <v>189</v>
      </c>
      <c r="H27" s="12" t="s">
        <v>190</v>
      </c>
      <c r="I27" s="12" t="s">
        <v>191</v>
      </c>
      <c r="J27" s="14" t="n">
        <v>803846</v>
      </c>
      <c r="K27" s="12" t="s">
        <v>192</v>
      </c>
      <c r="L27" s="12" t="s">
        <v>193</v>
      </c>
    </row>
    <row r="28" customFormat="false" ht="15" hidden="false" customHeight="false" outlineLevel="0" collapsed="false">
      <c r="C28" s="12" t="s">
        <v>5</v>
      </c>
      <c r="D28" s="12" t="s">
        <v>178</v>
      </c>
      <c r="E28" s="13" t="n">
        <v>2016</v>
      </c>
      <c r="F28" s="15"/>
      <c r="G28" s="12" t="s">
        <v>189</v>
      </c>
      <c r="H28" s="12" t="s">
        <v>190</v>
      </c>
      <c r="I28" s="12" t="s">
        <v>191</v>
      </c>
      <c r="J28" s="14" t="n">
        <v>948980</v>
      </c>
      <c r="K28" s="12" t="s">
        <v>192</v>
      </c>
      <c r="L28" s="12" t="s">
        <v>193</v>
      </c>
    </row>
    <row r="29" customFormat="false" ht="15" hidden="false" customHeight="false" outlineLevel="0" collapsed="false">
      <c r="C29" s="12" t="s">
        <v>5</v>
      </c>
      <c r="D29" s="12" t="s">
        <v>178</v>
      </c>
      <c r="E29" s="13" t="n">
        <v>2017</v>
      </c>
      <c r="F29" s="15"/>
      <c r="G29" s="12" t="s">
        <v>189</v>
      </c>
      <c r="H29" s="12" t="s">
        <v>190</v>
      </c>
      <c r="I29" s="12" t="s">
        <v>191</v>
      </c>
      <c r="J29" s="14" t="n">
        <v>977866</v>
      </c>
      <c r="K29" s="12" t="s">
        <v>192</v>
      </c>
      <c r="L29" s="12" t="s">
        <v>193</v>
      </c>
    </row>
    <row r="30" customFormat="false" ht="15" hidden="false" customHeight="false" outlineLevel="0" collapsed="false">
      <c r="C30" s="12" t="s">
        <v>5</v>
      </c>
      <c r="D30" s="12" t="s">
        <v>178</v>
      </c>
      <c r="E30" s="13" t="n">
        <v>2018</v>
      </c>
      <c r="F30" s="15"/>
      <c r="G30" s="12" t="s">
        <v>189</v>
      </c>
      <c r="H30" s="12" t="s">
        <v>190</v>
      </c>
      <c r="I30" s="12" t="s">
        <v>191</v>
      </c>
      <c r="J30" s="14" t="n">
        <v>1007779</v>
      </c>
      <c r="K30" s="12" t="s">
        <v>192</v>
      </c>
      <c r="L30" s="12" t="s">
        <v>193</v>
      </c>
    </row>
    <row r="31" customFormat="false" ht="15" hidden="false" customHeight="false" outlineLevel="0" collapsed="false">
      <c r="C31" s="12" t="s">
        <v>5</v>
      </c>
      <c r="D31" s="12" t="s">
        <v>178</v>
      </c>
      <c r="E31" s="13" t="n">
        <v>2019</v>
      </c>
      <c r="F31" s="15"/>
      <c r="G31" s="12" t="s">
        <v>189</v>
      </c>
      <c r="H31" s="12" t="s">
        <v>190</v>
      </c>
      <c r="I31" s="12" t="s">
        <v>191</v>
      </c>
      <c r="J31" s="14" t="n">
        <v>1054119</v>
      </c>
      <c r="K31" s="12" t="s">
        <v>192</v>
      </c>
      <c r="L31" s="12" t="s">
        <v>193</v>
      </c>
    </row>
    <row r="32" customFormat="false" ht="15" hidden="false" customHeight="false" outlineLevel="0" collapsed="false">
      <c r="C32" s="12" t="s">
        <v>5</v>
      </c>
      <c r="D32" s="12" t="s">
        <v>178</v>
      </c>
      <c r="E32" s="13" t="n">
        <v>2020</v>
      </c>
      <c r="F32" s="15"/>
      <c r="G32" s="12" t="s">
        <v>189</v>
      </c>
      <c r="H32" s="12" t="s">
        <v>190</v>
      </c>
      <c r="I32" s="12" t="s">
        <v>191</v>
      </c>
      <c r="J32" s="14" t="n">
        <v>1240609</v>
      </c>
      <c r="K32" s="12" t="s">
        <v>192</v>
      </c>
      <c r="L32" s="12" t="s">
        <v>193</v>
      </c>
    </row>
    <row r="33" customFormat="false" ht="15" hidden="false" customHeight="false" outlineLevel="0" collapsed="false">
      <c r="C33" s="12" t="s">
        <v>5</v>
      </c>
      <c r="D33" s="12" t="s">
        <v>178</v>
      </c>
      <c r="E33" s="13" t="n">
        <v>2021</v>
      </c>
      <c r="F33" s="15"/>
      <c r="G33" s="12" t="s">
        <v>189</v>
      </c>
      <c r="H33" s="12" t="s">
        <v>190</v>
      </c>
      <c r="I33" s="12" t="s">
        <v>191</v>
      </c>
      <c r="J33" s="14" t="n">
        <v>1215383</v>
      </c>
      <c r="K33" s="12" t="s">
        <v>192</v>
      </c>
      <c r="L33" s="12" t="s">
        <v>193</v>
      </c>
    </row>
    <row r="34" customFormat="false" ht="15" hidden="false" customHeight="false" outlineLevel="0" collapsed="false">
      <c r="C34" s="12" t="s">
        <v>5</v>
      </c>
      <c r="D34" s="12" t="s">
        <v>178</v>
      </c>
      <c r="E34" s="13" t="n">
        <v>2022</v>
      </c>
      <c r="F34" s="15"/>
      <c r="G34" s="12" t="s">
        <v>189</v>
      </c>
      <c r="H34" s="12" t="s">
        <v>190</v>
      </c>
      <c r="I34" s="12" t="s">
        <v>191</v>
      </c>
      <c r="J34" s="14" t="n">
        <v>1360082</v>
      </c>
      <c r="K34" s="12" t="s">
        <v>192</v>
      </c>
      <c r="L34" s="12" t="s">
        <v>193</v>
      </c>
    </row>
    <row r="35" customFormat="false" ht="15" hidden="false" customHeight="false" outlineLevel="0" collapsed="false">
      <c r="C35" s="12" t="s">
        <v>5</v>
      </c>
      <c r="D35" s="12" t="s">
        <v>178</v>
      </c>
      <c r="E35" s="13" t="n">
        <v>2023</v>
      </c>
      <c r="F35" s="15"/>
      <c r="G35" s="12" t="s">
        <v>189</v>
      </c>
      <c r="H35" s="12" t="s">
        <v>190</v>
      </c>
      <c r="I35" s="12" t="s">
        <v>191</v>
      </c>
      <c r="J35" s="14" t="n">
        <v>1503621</v>
      </c>
      <c r="K35" s="12" t="s">
        <v>192</v>
      </c>
      <c r="L35" s="12" t="s">
        <v>193</v>
      </c>
    </row>
    <row r="36" customFormat="false" ht="15" hidden="false" customHeight="false" outlineLevel="0" collapsed="false">
      <c r="C36" s="12" t="s">
        <v>6</v>
      </c>
      <c r="D36" s="12" t="s">
        <v>184</v>
      </c>
      <c r="E36" s="13" t="n">
        <v>2015</v>
      </c>
      <c r="F36" s="15"/>
      <c r="G36" s="12" t="s">
        <v>189</v>
      </c>
      <c r="H36" s="12" t="s">
        <v>190</v>
      </c>
      <c r="I36" s="12" t="s">
        <v>191</v>
      </c>
      <c r="J36" s="14" t="n">
        <v>758157</v>
      </c>
      <c r="K36" s="12" t="s">
        <v>192</v>
      </c>
      <c r="L36" s="12" t="s">
        <v>193</v>
      </c>
    </row>
    <row r="37" customFormat="false" ht="15" hidden="false" customHeight="false" outlineLevel="0" collapsed="false">
      <c r="C37" s="12" t="s">
        <v>6</v>
      </c>
      <c r="D37" s="12" t="s">
        <v>184</v>
      </c>
      <c r="E37" s="13" t="n">
        <v>2016</v>
      </c>
      <c r="F37" s="15"/>
      <c r="G37" s="12" t="s">
        <v>189</v>
      </c>
      <c r="H37" s="12" t="s">
        <v>190</v>
      </c>
      <c r="I37" s="12" t="s">
        <v>191</v>
      </c>
      <c r="J37" s="14" t="n">
        <v>786323</v>
      </c>
      <c r="K37" s="12" t="s">
        <v>192</v>
      </c>
      <c r="L37" s="12" t="s">
        <v>193</v>
      </c>
    </row>
    <row r="38" customFormat="false" ht="15" hidden="false" customHeight="false" outlineLevel="0" collapsed="false">
      <c r="C38" s="12" t="s">
        <v>6</v>
      </c>
      <c r="D38" s="12" t="s">
        <v>184</v>
      </c>
      <c r="E38" s="13" t="n">
        <v>2017</v>
      </c>
      <c r="F38" s="15"/>
      <c r="G38" s="12" t="s">
        <v>189</v>
      </c>
      <c r="H38" s="12" t="s">
        <v>190</v>
      </c>
      <c r="I38" s="12" t="s">
        <v>191</v>
      </c>
      <c r="J38" s="14" t="n">
        <v>987505</v>
      </c>
      <c r="K38" s="12" t="s">
        <v>192</v>
      </c>
      <c r="L38" s="12" t="s">
        <v>193</v>
      </c>
    </row>
    <row r="39" customFormat="false" ht="15" hidden="false" customHeight="false" outlineLevel="0" collapsed="false">
      <c r="C39" s="12" t="s">
        <v>6</v>
      </c>
      <c r="D39" s="12" t="s">
        <v>184</v>
      </c>
      <c r="E39" s="13" t="n">
        <v>2018</v>
      </c>
      <c r="F39" s="15"/>
      <c r="G39" s="12" t="s">
        <v>189</v>
      </c>
      <c r="H39" s="12" t="s">
        <v>190</v>
      </c>
      <c r="I39" s="12" t="s">
        <v>191</v>
      </c>
      <c r="J39" s="14" t="n">
        <v>1032652</v>
      </c>
      <c r="K39" s="12" t="s">
        <v>192</v>
      </c>
      <c r="L39" s="12" t="s">
        <v>193</v>
      </c>
    </row>
    <row r="40" customFormat="false" ht="15" hidden="false" customHeight="false" outlineLevel="0" collapsed="false">
      <c r="C40" s="12" t="s">
        <v>6</v>
      </c>
      <c r="D40" s="12" t="s">
        <v>184</v>
      </c>
      <c r="E40" s="13" t="n">
        <v>2019</v>
      </c>
      <c r="F40" s="15"/>
      <c r="G40" s="12" t="s">
        <v>189</v>
      </c>
      <c r="H40" s="12" t="s">
        <v>190</v>
      </c>
      <c r="I40" s="12" t="s">
        <v>191</v>
      </c>
      <c r="J40" s="14" t="n">
        <v>1030980</v>
      </c>
      <c r="K40" s="12" t="s">
        <v>192</v>
      </c>
      <c r="L40" s="12" t="s">
        <v>193</v>
      </c>
    </row>
    <row r="41" customFormat="false" ht="15" hidden="false" customHeight="false" outlineLevel="0" collapsed="false">
      <c r="C41" s="12" t="s">
        <v>6</v>
      </c>
      <c r="D41" s="12" t="s">
        <v>184</v>
      </c>
      <c r="E41" s="13" t="n">
        <v>2020</v>
      </c>
      <c r="F41" s="15"/>
      <c r="G41" s="12" t="s">
        <v>189</v>
      </c>
      <c r="H41" s="12" t="s">
        <v>190</v>
      </c>
      <c r="I41" s="12" t="s">
        <v>191</v>
      </c>
      <c r="J41" s="14" t="n">
        <v>1035533</v>
      </c>
      <c r="K41" s="12" t="s">
        <v>192</v>
      </c>
      <c r="L41" s="12" t="s">
        <v>193</v>
      </c>
    </row>
    <row r="42" customFormat="false" ht="15" hidden="false" customHeight="false" outlineLevel="0" collapsed="false">
      <c r="C42" s="12" t="s">
        <v>6</v>
      </c>
      <c r="D42" s="12" t="s">
        <v>184</v>
      </c>
      <c r="E42" s="13" t="n">
        <v>2021</v>
      </c>
      <c r="F42" s="15"/>
      <c r="G42" s="12" t="s">
        <v>189</v>
      </c>
      <c r="H42" s="12" t="s">
        <v>190</v>
      </c>
      <c r="I42" s="12" t="s">
        <v>191</v>
      </c>
      <c r="J42" s="14" t="n">
        <v>1272092</v>
      </c>
      <c r="K42" s="12" t="s">
        <v>192</v>
      </c>
      <c r="L42" s="12" t="s">
        <v>193</v>
      </c>
    </row>
    <row r="43" customFormat="false" ht="15" hidden="false" customHeight="false" outlineLevel="0" collapsed="false">
      <c r="C43" s="12" t="s">
        <v>6</v>
      </c>
      <c r="D43" s="12" t="s">
        <v>184</v>
      </c>
      <c r="E43" s="13" t="n">
        <v>2022</v>
      </c>
      <c r="F43" s="15"/>
      <c r="G43" s="12" t="s">
        <v>189</v>
      </c>
      <c r="H43" s="12" t="s">
        <v>190</v>
      </c>
      <c r="I43" s="12" t="s">
        <v>191</v>
      </c>
      <c r="J43" s="14" t="n">
        <v>1539413</v>
      </c>
      <c r="K43" s="12" t="s">
        <v>192</v>
      </c>
      <c r="L43" s="12" t="s">
        <v>193</v>
      </c>
    </row>
    <row r="44" customFormat="false" ht="15" hidden="false" customHeight="false" outlineLevel="0" collapsed="false">
      <c r="C44" s="12" t="s">
        <v>6</v>
      </c>
      <c r="D44" s="12" t="s">
        <v>184</v>
      </c>
      <c r="E44" s="13" t="n">
        <v>2023</v>
      </c>
      <c r="F44" s="15"/>
      <c r="G44" s="12" t="s">
        <v>189</v>
      </c>
      <c r="H44" s="12" t="s">
        <v>190</v>
      </c>
      <c r="I44" s="12" t="s">
        <v>191</v>
      </c>
      <c r="J44" s="14" t="n">
        <v>1777713</v>
      </c>
      <c r="K44" s="12" t="s">
        <v>192</v>
      </c>
      <c r="L44" s="12" t="s">
        <v>193</v>
      </c>
    </row>
    <row r="45" customFormat="false" ht="15" hidden="false" customHeight="false" outlineLevel="0" collapsed="false">
      <c r="C45" s="12" t="s">
        <v>194</v>
      </c>
      <c r="D45" s="12" t="s">
        <v>195</v>
      </c>
      <c r="E45" s="13" t="n">
        <v>2015</v>
      </c>
      <c r="F45" s="13" t="n">
        <v>1</v>
      </c>
      <c r="G45" s="12" t="s">
        <v>196</v>
      </c>
      <c r="H45" s="12" t="s">
        <v>197</v>
      </c>
      <c r="I45" s="12" t="s">
        <v>198</v>
      </c>
      <c r="J45" s="14" t="n">
        <v>4110.2</v>
      </c>
      <c r="K45" s="12" t="s">
        <v>199</v>
      </c>
      <c r="L45" s="12" t="s">
        <v>200</v>
      </c>
    </row>
    <row r="46" customFormat="false" ht="15" hidden="false" customHeight="false" outlineLevel="0" collapsed="false">
      <c r="C46" s="12" t="s">
        <v>194</v>
      </c>
      <c r="D46" s="12" t="s">
        <v>195</v>
      </c>
      <c r="E46" s="13" t="n">
        <v>2015</v>
      </c>
      <c r="F46" s="13" t="n">
        <v>2</v>
      </c>
      <c r="G46" s="12" t="s">
        <v>196</v>
      </c>
      <c r="H46" s="12" t="s">
        <v>197</v>
      </c>
      <c r="I46" s="12" t="s">
        <v>198</v>
      </c>
      <c r="J46" s="14" t="n">
        <v>4160.34</v>
      </c>
      <c r="K46" s="12" t="s">
        <v>199</v>
      </c>
      <c r="L46" s="12" t="s">
        <v>200</v>
      </c>
    </row>
    <row r="47" customFormat="false" ht="15" hidden="false" customHeight="false" outlineLevel="0" collapsed="false">
      <c r="C47" s="12" t="s">
        <v>194</v>
      </c>
      <c r="D47" s="12" t="s">
        <v>195</v>
      </c>
      <c r="E47" s="13" t="n">
        <v>2015</v>
      </c>
      <c r="F47" s="13" t="n">
        <v>3</v>
      </c>
      <c r="G47" s="12" t="s">
        <v>196</v>
      </c>
      <c r="H47" s="12" t="s">
        <v>197</v>
      </c>
      <c r="I47" s="12" t="s">
        <v>198</v>
      </c>
      <c r="J47" s="14" t="n">
        <v>4215.26</v>
      </c>
      <c r="K47" s="12" t="s">
        <v>199</v>
      </c>
      <c r="L47" s="12" t="s">
        <v>200</v>
      </c>
    </row>
    <row r="48" customFormat="false" ht="15" hidden="false" customHeight="false" outlineLevel="0" collapsed="false">
      <c r="C48" s="12" t="s">
        <v>194</v>
      </c>
      <c r="D48" s="12" t="s">
        <v>195</v>
      </c>
      <c r="E48" s="13" t="n">
        <v>2015</v>
      </c>
      <c r="F48" s="13" t="n">
        <v>4</v>
      </c>
      <c r="G48" s="12" t="s">
        <v>196</v>
      </c>
      <c r="H48" s="12" t="s">
        <v>197</v>
      </c>
      <c r="I48" s="12" t="s">
        <v>198</v>
      </c>
      <c r="J48" s="14" t="n">
        <v>4245.19</v>
      </c>
      <c r="K48" s="12" t="s">
        <v>199</v>
      </c>
      <c r="L48" s="12" t="s">
        <v>200</v>
      </c>
    </row>
    <row r="49" customFormat="false" ht="15" hidden="false" customHeight="false" outlineLevel="0" collapsed="false">
      <c r="C49" s="12" t="s">
        <v>194</v>
      </c>
      <c r="D49" s="12" t="s">
        <v>195</v>
      </c>
      <c r="E49" s="13" t="n">
        <v>2015</v>
      </c>
      <c r="F49" s="13" t="n">
        <v>5</v>
      </c>
      <c r="G49" s="12" t="s">
        <v>196</v>
      </c>
      <c r="H49" s="12" t="s">
        <v>197</v>
      </c>
      <c r="I49" s="12" t="s">
        <v>198</v>
      </c>
      <c r="J49" s="14" t="n">
        <v>4276.6</v>
      </c>
      <c r="K49" s="12" t="s">
        <v>199</v>
      </c>
      <c r="L49" s="12" t="s">
        <v>200</v>
      </c>
    </row>
    <row r="50" customFormat="false" ht="15" hidden="false" customHeight="false" outlineLevel="0" collapsed="false">
      <c r="C50" s="12" t="s">
        <v>194</v>
      </c>
      <c r="D50" s="12" t="s">
        <v>195</v>
      </c>
      <c r="E50" s="13" t="n">
        <v>2015</v>
      </c>
      <c r="F50" s="13" t="n">
        <v>6</v>
      </c>
      <c r="G50" s="12" t="s">
        <v>196</v>
      </c>
      <c r="H50" s="12" t="s">
        <v>197</v>
      </c>
      <c r="I50" s="12" t="s">
        <v>198</v>
      </c>
      <c r="J50" s="14" t="n">
        <v>4310.39</v>
      </c>
      <c r="K50" s="12" t="s">
        <v>199</v>
      </c>
      <c r="L50" s="12" t="s">
        <v>200</v>
      </c>
    </row>
    <row r="51" customFormat="false" ht="15" hidden="false" customHeight="false" outlineLevel="0" collapsed="false">
      <c r="C51" s="12" t="s">
        <v>194</v>
      </c>
      <c r="D51" s="12" t="s">
        <v>195</v>
      </c>
      <c r="E51" s="13" t="n">
        <v>2015</v>
      </c>
      <c r="F51" s="13" t="n">
        <v>7</v>
      </c>
      <c r="G51" s="12" t="s">
        <v>196</v>
      </c>
      <c r="H51" s="12" t="s">
        <v>197</v>
      </c>
      <c r="I51" s="12" t="s">
        <v>198</v>
      </c>
      <c r="J51" s="14" t="n">
        <v>4337.11</v>
      </c>
      <c r="K51" s="12" t="s">
        <v>199</v>
      </c>
      <c r="L51" s="12" t="s">
        <v>200</v>
      </c>
    </row>
    <row r="52" customFormat="false" ht="15" hidden="false" customHeight="false" outlineLevel="0" collapsed="false">
      <c r="C52" s="12" t="s">
        <v>194</v>
      </c>
      <c r="D52" s="12" t="s">
        <v>195</v>
      </c>
      <c r="E52" s="13" t="n">
        <v>2015</v>
      </c>
      <c r="F52" s="13" t="n">
        <v>8</v>
      </c>
      <c r="G52" s="12" t="s">
        <v>196</v>
      </c>
      <c r="H52" s="12" t="s">
        <v>197</v>
      </c>
      <c r="I52" s="12" t="s">
        <v>198</v>
      </c>
      <c r="J52" s="14" t="n">
        <v>4346.65</v>
      </c>
      <c r="K52" s="12" t="s">
        <v>199</v>
      </c>
      <c r="L52" s="12" t="s">
        <v>200</v>
      </c>
    </row>
    <row r="53" customFormat="false" ht="15" hidden="false" customHeight="false" outlineLevel="0" collapsed="false">
      <c r="C53" s="12" t="s">
        <v>194</v>
      </c>
      <c r="D53" s="12" t="s">
        <v>195</v>
      </c>
      <c r="E53" s="13" t="n">
        <v>2015</v>
      </c>
      <c r="F53" s="13" t="n">
        <v>9</v>
      </c>
      <c r="G53" s="12" t="s">
        <v>196</v>
      </c>
      <c r="H53" s="12" t="s">
        <v>197</v>
      </c>
      <c r="I53" s="12" t="s">
        <v>198</v>
      </c>
      <c r="J53" s="14" t="n">
        <v>4370.12</v>
      </c>
      <c r="K53" s="12" t="s">
        <v>199</v>
      </c>
      <c r="L53" s="12" t="s">
        <v>200</v>
      </c>
    </row>
    <row r="54" customFormat="false" ht="15" hidden="false" customHeight="false" outlineLevel="0" collapsed="false">
      <c r="C54" s="12" t="s">
        <v>194</v>
      </c>
      <c r="D54" s="12" t="s">
        <v>195</v>
      </c>
      <c r="E54" s="13" t="n">
        <v>2015</v>
      </c>
      <c r="F54" s="13" t="n">
        <v>10</v>
      </c>
      <c r="G54" s="12" t="s">
        <v>196</v>
      </c>
      <c r="H54" s="12" t="s">
        <v>197</v>
      </c>
      <c r="I54" s="12" t="s">
        <v>198</v>
      </c>
      <c r="J54" s="14" t="n">
        <v>4405.95</v>
      </c>
      <c r="K54" s="12" t="s">
        <v>199</v>
      </c>
      <c r="L54" s="12" t="s">
        <v>200</v>
      </c>
    </row>
    <row r="55" customFormat="false" ht="15" hidden="false" customHeight="false" outlineLevel="0" collapsed="false">
      <c r="C55" s="12" t="s">
        <v>194</v>
      </c>
      <c r="D55" s="12" t="s">
        <v>195</v>
      </c>
      <c r="E55" s="13" t="n">
        <v>2015</v>
      </c>
      <c r="F55" s="13" t="n">
        <v>11</v>
      </c>
      <c r="G55" s="12" t="s">
        <v>196</v>
      </c>
      <c r="H55" s="12" t="s">
        <v>197</v>
      </c>
      <c r="I55" s="12" t="s">
        <v>198</v>
      </c>
      <c r="J55" s="14" t="n">
        <v>4450.45</v>
      </c>
      <c r="K55" s="12" t="s">
        <v>199</v>
      </c>
      <c r="L55" s="12" t="s">
        <v>200</v>
      </c>
    </row>
    <row r="56" customFormat="false" ht="15" hidden="false" customHeight="false" outlineLevel="0" collapsed="false">
      <c r="C56" s="12" t="s">
        <v>194</v>
      </c>
      <c r="D56" s="12" t="s">
        <v>195</v>
      </c>
      <c r="E56" s="13" t="n">
        <v>2015</v>
      </c>
      <c r="F56" s="13" t="n">
        <v>12</v>
      </c>
      <c r="G56" s="12" t="s">
        <v>196</v>
      </c>
      <c r="H56" s="12" t="s">
        <v>197</v>
      </c>
      <c r="I56" s="12" t="s">
        <v>198</v>
      </c>
      <c r="J56" s="14" t="n">
        <v>4493.17</v>
      </c>
      <c r="K56" s="12" t="s">
        <v>199</v>
      </c>
      <c r="L56" s="12" t="s">
        <v>200</v>
      </c>
    </row>
    <row r="57" customFormat="false" ht="15" hidden="false" customHeight="false" outlineLevel="0" collapsed="false">
      <c r="C57" s="12" t="s">
        <v>194</v>
      </c>
      <c r="D57" s="12" t="s">
        <v>195</v>
      </c>
      <c r="E57" s="13" t="n">
        <v>2016</v>
      </c>
      <c r="F57" s="13" t="n">
        <v>1</v>
      </c>
      <c r="G57" s="12" t="s">
        <v>196</v>
      </c>
      <c r="H57" s="12" t="s">
        <v>197</v>
      </c>
      <c r="I57" s="12" t="s">
        <v>198</v>
      </c>
      <c r="J57" s="14" t="n">
        <v>4550.23</v>
      </c>
      <c r="K57" s="12" t="s">
        <v>199</v>
      </c>
      <c r="L57" s="12" t="s">
        <v>200</v>
      </c>
    </row>
    <row r="58" customFormat="false" ht="15" hidden="false" customHeight="false" outlineLevel="0" collapsed="false">
      <c r="C58" s="12" t="s">
        <v>194</v>
      </c>
      <c r="D58" s="12" t="s">
        <v>195</v>
      </c>
      <c r="E58" s="13" t="n">
        <v>2016</v>
      </c>
      <c r="F58" s="13" t="n">
        <v>2</v>
      </c>
      <c r="G58" s="12" t="s">
        <v>196</v>
      </c>
      <c r="H58" s="12" t="s">
        <v>197</v>
      </c>
      <c r="I58" s="12" t="s">
        <v>198</v>
      </c>
      <c r="J58" s="14" t="n">
        <v>4591.18</v>
      </c>
      <c r="K58" s="12" t="s">
        <v>199</v>
      </c>
      <c r="L58" s="12" t="s">
        <v>200</v>
      </c>
    </row>
    <row r="59" customFormat="false" ht="15" hidden="false" customHeight="false" outlineLevel="0" collapsed="false">
      <c r="C59" s="12" t="s">
        <v>194</v>
      </c>
      <c r="D59" s="12" t="s">
        <v>195</v>
      </c>
      <c r="E59" s="13" t="n">
        <v>2016</v>
      </c>
      <c r="F59" s="13" t="n">
        <v>3</v>
      </c>
      <c r="G59" s="12" t="s">
        <v>196</v>
      </c>
      <c r="H59" s="12" t="s">
        <v>197</v>
      </c>
      <c r="I59" s="12" t="s">
        <v>198</v>
      </c>
      <c r="J59" s="14" t="n">
        <v>4610.92</v>
      </c>
      <c r="K59" s="12" t="s">
        <v>199</v>
      </c>
      <c r="L59" s="12" t="s">
        <v>200</v>
      </c>
    </row>
    <row r="60" customFormat="false" ht="15" hidden="false" customHeight="false" outlineLevel="0" collapsed="false">
      <c r="C60" s="12" t="s">
        <v>194</v>
      </c>
      <c r="D60" s="12" t="s">
        <v>195</v>
      </c>
      <c r="E60" s="13" t="n">
        <v>2016</v>
      </c>
      <c r="F60" s="13" t="n">
        <v>4</v>
      </c>
      <c r="G60" s="12" t="s">
        <v>196</v>
      </c>
      <c r="H60" s="12" t="s">
        <v>197</v>
      </c>
      <c r="I60" s="12" t="s">
        <v>198</v>
      </c>
      <c r="J60" s="14" t="n">
        <v>4639.05</v>
      </c>
      <c r="K60" s="12" t="s">
        <v>199</v>
      </c>
      <c r="L60" s="12" t="s">
        <v>200</v>
      </c>
    </row>
    <row r="61" customFormat="false" ht="15" hidden="false" customHeight="false" outlineLevel="0" collapsed="false">
      <c r="C61" s="12" t="s">
        <v>194</v>
      </c>
      <c r="D61" s="12" t="s">
        <v>195</v>
      </c>
      <c r="E61" s="13" t="n">
        <v>2016</v>
      </c>
      <c r="F61" s="13" t="n">
        <v>5</v>
      </c>
      <c r="G61" s="12" t="s">
        <v>196</v>
      </c>
      <c r="H61" s="12" t="s">
        <v>197</v>
      </c>
      <c r="I61" s="12" t="s">
        <v>198</v>
      </c>
      <c r="J61" s="14" t="n">
        <v>4675.23</v>
      </c>
      <c r="K61" s="12" t="s">
        <v>199</v>
      </c>
      <c r="L61" s="12" t="s">
        <v>200</v>
      </c>
    </row>
    <row r="62" customFormat="false" ht="15" hidden="false" customHeight="false" outlineLevel="0" collapsed="false">
      <c r="C62" s="12" t="s">
        <v>194</v>
      </c>
      <c r="D62" s="12" t="s">
        <v>195</v>
      </c>
      <c r="E62" s="13" t="n">
        <v>2016</v>
      </c>
      <c r="F62" s="13" t="n">
        <v>6</v>
      </c>
      <c r="G62" s="12" t="s">
        <v>196</v>
      </c>
      <c r="H62" s="12" t="s">
        <v>197</v>
      </c>
      <c r="I62" s="12" t="s">
        <v>198</v>
      </c>
      <c r="J62" s="14" t="n">
        <v>4691.59</v>
      </c>
      <c r="K62" s="12" t="s">
        <v>199</v>
      </c>
      <c r="L62" s="12" t="s">
        <v>200</v>
      </c>
    </row>
    <row r="63" customFormat="false" ht="15" hidden="false" customHeight="false" outlineLevel="0" collapsed="false">
      <c r="C63" s="12" t="s">
        <v>194</v>
      </c>
      <c r="D63" s="12" t="s">
        <v>195</v>
      </c>
      <c r="E63" s="13" t="n">
        <v>2016</v>
      </c>
      <c r="F63" s="13" t="n">
        <v>7</v>
      </c>
      <c r="G63" s="12" t="s">
        <v>196</v>
      </c>
      <c r="H63" s="12" t="s">
        <v>197</v>
      </c>
      <c r="I63" s="12" t="s">
        <v>198</v>
      </c>
      <c r="J63" s="14" t="n">
        <v>4715.99</v>
      </c>
      <c r="K63" s="12" t="s">
        <v>199</v>
      </c>
      <c r="L63" s="12" t="s">
        <v>200</v>
      </c>
    </row>
    <row r="64" customFormat="false" ht="15" hidden="false" customHeight="false" outlineLevel="0" collapsed="false">
      <c r="C64" s="12" t="s">
        <v>194</v>
      </c>
      <c r="D64" s="12" t="s">
        <v>195</v>
      </c>
      <c r="E64" s="13" t="n">
        <v>2016</v>
      </c>
      <c r="F64" s="13" t="n">
        <v>8</v>
      </c>
      <c r="G64" s="12" t="s">
        <v>196</v>
      </c>
      <c r="H64" s="12" t="s">
        <v>197</v>
      </c>
      <c r="I64" s="12" t="s">
        <v>198</v>
      </c>
      <c r="J64" s="14" t="n">
        <v>4736.74</v>
      </c>
      <c r="K64" s="12" t="s">
        <v>199</v>
      </c>
      <c r="L64" s="12" t="s">
        <v>200</v>
      </c>
    </row>
    <row r="65" customFormat="false" ht="15" hidden="false" customHeight="false" outlineLevel="0" collapsed="false">
      <c r="C65" s="12" t="s">
        <v>194</v>
      </c>
      <c r="D65" s="12" t="s">
        <v>195</v>
      </c>
      <c r="E65" s="13" t="n">
        <v>2016</v>
      </c>
      <c r="F65" s="13" t="n">
        <v>9</v>
      </c>
      <c r="G65" s="12" t="s">
        <v>196</v>
      </c>
      <c r="H65" s="12" t="s">
        <v>197</v>
      </c>
      <c r="I65" s="12" t="s">
        <v>198</v>
      </c>
      <c r="J65" s="14" t="n">
        <v>4740.53</v>
      </c>
      <c r="K65" s="12" t="s">
        <v>199</v>
      </c>
      <c r="L65" s="12" t="s">
        <v>200</v>
      </c>
    </row>
    <row r="66" customFormat="false" ht="15" hidden="false" customHeight="false" outlineLevel="0" collapsed="false">
      <c r="C66" s="12" t="s">
        <v>194</v>
      </c>
      <c r="D66" s="12" t="s">
        <v>195</v>
      </c>
      <c r="E66" s="13" t="n">
        <v>2016</v>
      </c>
      <c r="F66" s="13" t="n">
        <v>10</v>
      </c>
      <c r="G66" s="12" t="s">
        <v>196</v>
      </c>
      <c r="H66" s="12" t="s">
        <v>197</v>
      </c>
      <c r="I66" s="12" t="s">
        <v>198</v>
      </c>
      <c r="J66" s="14" t="n">
        <v>4752.86</v>
      </c>
      <c r="K66" s="12" t="s">
        <v>199</v>
      </c>
      <c r="L66" s="12" t="s">
        <v>200</v>
      </c>
    </row>
    <row r="67" customFormat="false" ht="15" hidden="false" customHeight="false" outlineLevel="0" collapsed="false">
      <c r="C67" s="12" t="s">
        <v>194</v>
      </c>
      <c r="D67" s="12" t="s">
        <v>195</v>
      </c>
      <c r="E67" s="13" t="n">
        <v>2016</v>
      </c>
      <c r="F67" s="13" t="n">
        <v>11</v>
      </c>
      <c r="G67" s="12" t="s">
        <v>196</v>
      </c>
      <c r="H67" s="12" t="s">
        <v>197</v>
      </c>
      <c r="I67" s="12" t="s">
        <v>198</v>
      </c>
      <c r="J67" s="14" t="n">
        <v>4761.42</v>
      </c>
      <c r="K67" s="12" t="s">
        <v>199</v>
      </c>
      <c r="L67" s="12" t="s">
        <v>200</v>
      </c>
    </row>
    <row r="68" customFormat="false" ht="15" hidden="false" customHeight="false" outlineLevel="0" collapsed="false">
      <c r="C68" s="12" t="s">
        <v>194</v>
      </c>
      <c r="D68" s="12" t="s">
        <v>195</v>
      </c>
      <c r="E68" s="13" t="n">
        <v>2016</v>
      </c>
      <c r="F68" s="13" t="n">
        <v>12</v>
      </c>
      <c r="G68" s="12" t="s">
        <v>196</v>
      </c>
      <c r="H68" s="12" t="s">
        <v>197</v>
      </c>
      <c r="I68" s="12" t="s">
        <v>198</v>
      </c>
      <c r="J68" s="14" t="n">
        <v>4775.7</v>
      </c>
      <c r="K68" s="12" t="s">
        <v>199</v>
      </c>
      <c r="L68" s="12" t="s">
        <v>200</v>
      </c>
    </row>
    <row r="69" customFormat="false" ht="15" hidden="false" customHeight="false" outlineLevel="0" collapsed="false">
      <c r="C69" s="12" t="s">
        <v>194</v>
      </c>
      <c r="D69" s="12" t="s">
        <v>195</v>
      </c>
      <c r="E69" s="13" t="n">
        <v>2017</v>
      </c>
      <c r="F69" s="13" t="n">
        <v>1</v>
      </c>
      <c r="G69" s="12" t="s">
        <v>196</v>
      </c>
      <c r="H69" s="12" t="s">
        <v>197</v>
      </c>
      <c r="I69" s="12" t="s">
        <v>198</v>
      </c>
      <c r="J69" s="14" t="n">
        <v>4793.85</v>
      </c>
      <c r="K69" s="12" t="s">
        <v>199</v>
      </c>
      <c r="L69" s="12" t="s">
        <v>200</v>
      </c>
    </row>
    <row r="70" customFormat="false" ht="15" hidden="false" customHeight="false" outlineLevel="0" collapsed="false">
      <c r="C70" s="12" t="s">
        <v>194</v>
      </c>
      <c r="D70" s="12" t="s">
        <v>195</v>
      </c>
      <c r="E70" s="13" t="n">
        <v>2017</v>
      </c>
      <c r="F70" s="13" t="n">
        <v>2</v>
      </c>
      <c r="G70" s="12" t="s">
        <v>196</v>
      </c>
      <c r="H70" s="12" t="s">
        <v>197</v>
      </c>
      <c r="I70" s="12" t="s">
        <v>198</v>
      </c>
      <c r="J70" s="14" t="n">
        <v>4809.67</v>
      </c>
      <c r="K70" s="12" t="s">
        <v>199</v>
      </c>
      <c r="L70" s="12" t="s">
        <v>200</v>
      </c>
    </row>
    <row r="71" customFormat="false" ht="15" hidden="false" customHeight="false" outlineLevel="0" collapsed="false">
      <c r="C71" s="12" t="s">
        <v>194</v>
      </c>
      <c r="D71" s="12" t="s">
        <v>195</v>
      </c>
      <c r="E71" s="13" t="n">
        <v>2017</v>
      </c>
      <c r="F71" s="13" t="n">
        <v>3</v>
      </c>
      <c r="G71" s="12" t="s">
        <v>196</v>
      </c>
      <c r="H71" s="12" t="s">
        <v>197</v>
      </c>
      <c r="I71" s="12" t="s">
        <v>198</v>
      </c>
      <c r="J71" s="14" t="n">
        <v>4821.69</v>
      </c>
      <c r="K71" s="12" t="s">
        <v>199</v>
      </c>
      <c r="L71" s="12" t="s">
        <v>200</v>
      </c>
    </row>
    <row r="72" customFormat="false" ht="15" hidden="false" customHeight="false" outlineLevel="0" collapsed="false">
      <c r="C72" s="12" t="s">
        <v>194</v>
      </c>
      <c r="D72" s="12" t="s">
        <v>195</v>
      </c>
      <c r="E72" s="13" t="n">
        <v>2017</v>
      </c>
      <c r="F72" s="13" t="n">
        <v>4</v>
      </c>
      <c r="G72" s="12" t="s">
        <v>196</v>
      </c>
      <c r="H72" s="12" t="s">
        <v>197</v>
      </c>
      <c r="I72" s="12" t="s">
        <v>198</v>
      </c>
      <c r="J72" s="14" t="n">
        <v>4828.44</v>
      </c>
      <c r="K72" s="12" t="s">
        <v>199</v>
      </c>
      <c r="L72" s="12" t="s">
        <v>200</v>
      </c>
    </row>
    <row r="73" customFormat="false" ht="15" hidden="false" customHeight="false" outlineLevel="0" collapsed="false">
      <c r="C73" s="12" t="s">
        <v>194</v>
      </c>
      <c r="D73" s="12" t="s">
        <v>195</v>
      </c>
      <c r="E73" s="13" t="n">
        <v>2017</v>
      </c>
      <c r="F73" s="13" t="n">
        <v>5</v>
      </c>
      <c r="G73" s="12" t="s">
        <v>196</v>
      </c>
      <c r="H73" s="12" t="s">
        <v>197</v>
      </c>
      <c r="I73" s="12" t="s">
        <v>198</v>
      </c>
      <c r="J73" s="14" t="n">
        <v>4843.41</v>
      </c>
      <c r="K73" s="12" t="s">
        <v>199</v>
      </c>
      <c r="L73" s="12" t="s">
        <v>200</v>
      </c>
    </row>
    <row r="74" customFormat="false" ht="15" hidden="false" customHeight="false" outlineLevel="0" collapsed="false">
      <c r="C74" s="12" t="s">
        <v>194</v>
      </c>
      <c r="D74" s="12" t="s">
        <v>195</v>
      </c>
      <c r="E74" s="13" t="n">
        <v>2017</v>
      </c>
      <c r="F74" s="13" t="n">
        <v>6</v>
      </c>
      <c r="G74" s="12" t="s">
        <v>196</v>
      </c>
      <c r="H74" s="12" t="s">
        <v>197</v>
      </c>
      <c r="I74" s="12" t="s">
        <v>198</v>
      </c>
      <c r="J74" s="14" t="n">
        <v>4832.27</v>
      </c>
      <c r="K74" s="12" t="s">
        <v>199</v>
      </c>
      <c r="L74" s="12" t="s">
        <v>200</v>
      </c>
    </row>
    <row r="75" customFormat="false" ht="15" hidden="false" customHeight="false" outlineLevel="0" collapsed="false">
      <c r="C75" s="12" t="s">
        <v>194</v>
      </c>
      <c r="D75" s="12" t="s">
        <v>195</v>
      </c>
      <c r="E75" s="13" t="n">
        <v>2017</v>
      </c>
      <c r="F75" s="13" t="n">
        <v>7</v>
      </c>
      <c r="G75" s="12" t="s">
        <v>196</v>
      </c>
      <c r="H75" s="12" t="s">
        <v>197</v>
      </c>
      <c r="I75" s="12" t="s">
        <v>198</v>
      </c>
      <c r="J75" s="14" t="n">
        <v>4843.87</v>
      </c>
      <c r="K75" s="12" t="s">
        <v>199</v>
      </c>
      <c r="L75" s="12" t="s">
        <v>200</v>
      </c>
    </row>
    <row r="76" customFormat="false" ht="15" hidden="false" customHeight="false" outlineLevel="0" collapsed="false">
      <c r="C76" s="12" t="s">
        <v>194</v>
      </c>
      <c r="D76" s="12" t="s">
        <v>195</v>
      </c>
      <c r="E76" s="13" t="n">
        <v>2017</v>
      </c>
      <c r="F76" s="13" t="n">
        <v>8</v>
      </c>
      <c r="G76" s="12" t="s">
        <v>196</v>
      </c>
      <c r="H76" s="12" t="s">
        <v>197</v>
      </c>
      <c r="I76" s="12" t="s">
        <v>198</v>
      </c>
      <c r="J76" s="14" t="n">
        <v>4853.07</v>
      </c>
      <c r="K76" s="12" t="s">
        <v>199</v>
      </c>
      <c r="L76" s="12" t="s">
        <v>200</v>
      </c>
    </row>
    <row r="77" customFormat="false" ht="15" hidden="false" customHeight="false" outlineLevel="0" collapsed="false">
      <c r="C77" s="12" t="s">
        <v>194</v>
      </c>
      <c r="D77" s="12" t="s">
        <v>195</v>
      </c>
      <c r="E77" s="13" t="n">
        <v>2017</v>
      </c>
      <c r="F77" s="13" t="n">
        <v>9</v>
      </c>
      <c r="G77" s="12" t="s">
        <v>196</v>
      </c>
      <c r="H77" s="12" t="s">
        <v>197</v>
      </c>
      <c r="I77" s="12" t="s">
        <v>198</v>
      </c>
      <c r="J77" s="14" t="n">
        <v>4860.83</v>
      </c>
      <c r="K77" s="12" t="s">
        <v>199</v>
      </c>
      <c r="L77" s="12" t="s">
        <v>200</v>
      </c>
    </row>
    <row r="78" customFormat="false" ht="15" hidden="false" customHeight="false" outlineLevel="0" collapsed="false">
      <c r="C78" s="12" t="s">
        <v>194</v>
      </c>
      <c r="D78" s="12" t="s">
        <v>195</v>
      </c>
      <c r="E78" s="13" t="n">
        <v>2017</v>
      </c>
      <c r="F78" s="13" t="n">
        <v>10</v>
      </c>
      <c r="G78" s="12" t="s">
        <v>196</v>
      </c>
      <c r="H78" s="12" t="s">
        <v>197</v>
      </c>
      <c r="I78" s="12" t="s">
        <v>198</v>
      </c>
      <c r="J78" s="14" t="n">
        <v>4881.25</v>
      </c>
      <c r="K78" s="12" t="s">
        <v>199</v>
      </c>
      <c r="L78" s="12" t="s">
        <v>200</v>
      </c>
    </row>
    <row r="79" customFormat="false" ht="15" hidden="false" customHeight="false" outlineLevel="0" collapsed="false">
      <c r="C79" s="12" t="s">
        <v>194</v>
      </c>
      <c r="D79" s="12" t="s">
        <v>195</v>
      </c>
      <c r="E79" s="13" t="n">
        <v>2017</v>
      </c>
      <c r="F79" s="13" t="n">
        <v>11</v>
      </c>
      <c r="G79" s="12" t="s">
        <v>196</v>
      </c>
      <c r="H79" s="12" t="s">
        <v>197</v>
      </c>
      <c r="I79" s="12" t="s">
        <v>198</v>
      </c>
      <c r="J79" s="14" t="n">
        <v>4894.92</v>
      </c>
      <c r="K79" s="12" t="s">
        <v>199</v>
      </c>
      <c r="L79" s="12" t="s">
        <v>200</v>
      </c>
    </row>
    <row r="80" customFormat="false" ht="15" hidden="false" customHeight="false" outlineLevel="0" collapsed="false">
      <c r="C80" s="12" t="s">
        <v>194</v>
      </c>
      <c r="D80" s="12" t="s">
        <v>195</v>
      </c>
      <c r="E80" s="13" t="n">
        <v>2017</v>
      </c>
      <c r="F80" s="13" t="n">
        <v>12</v>
      </c>
      <c r="G80" s="12" t="s">
        <v>196</v>
      </c>
      <c r="H80" s="12" t="s">
        <v>197</v>
      </c>
      <c r="I80" s="12" t="s">
        <v>198</v>
      </c>
      <c r="J80" s="14" t="n">
        <v>4916.46</v>
      </c>
      <c r="K80" s="12" t="s">
        <v>199</v>
      </c>
      <c r="L80" s="12" t="s">
        <v>200</v>
      </c>
    </row>
    <row r="81" customFormat="false" ht="15" hidden="false" customHeight="false" outlineLevel="0" collapsed="false">
      <c r="C81" s="12" t="s">
        <v>194</v>
      </c>
      <c r="D81" s="12" t="s">
        <v>195</v>
      </c>
      <c r="E81" s="13" t="n">
        <v>2018</v>
      </c>
      <c r="F81" s="13" t="n">
        <v>1</v>
      </c>
      <c r="G81" s="12" t="s">
        <v>196</v>
      </c>
      <c r="H81" s="12" t="s">
        <v>197</v>
      </c>
      <c r="I81" s="12" t="s">
        <v>198</v>
      </c>
      <c r="J81" s="14" t="n">
        <v>4930.72</v>
      </c>
      <c r="K81" s="12" t="s">
        <v>199</v>
      </c>
      <c r="L81" s="12" t="s">
        <v>200</v>
      </c>
    </row>
    <row r="82" customFormat="false" ht="15" hidden="false" customHeight="false" outlineLevel="0" collapsed="false">
      <c r="C82" s="12" t="s">
        <v>194</v>
      </c>
      <c r="D82" s="12" t="s">
        <v>195</v>
      </c>
      <c r="E82" s="13" t="n">
        <v>2018</v>
      </c>
      <c r="F82" s="13" t="n">
        <v>2</v>
      </c>
      <c r="G82" s="12" t="s">
        <v>196</v>
      </c>
      <c r="H82" s="12" t="s">
        <v>197</v>
      </c>
      <c r="I82" s="12" t="s">
        <v>198</v>
      </c>
      <c r="J82" s="14" t="n">
        <v>4946.5</v>
      </c>
      <c r="K82" s="12" t="s">
        <v>199</v>
      </c>
      <c r="L82" s="12" t="s">
        <v>200</v>
      </c>
    </row>
    <row r="83" customFormat="false" ht="15" hidden="false" customHeight="false" outlineLevel="0" collapsed="false">
      <c r="C83" s="12" t="s">
        <v>194</v>
      </c>
      <c r="D83" s="12" t="s">
        <v>195</v>
      </c>
      <c r="E83" s="13" t="n">
        <v>2018</v>
      </c>
      <c r="F83" s="13" t="n">
        <v>3</v>
      </c>
      <c r="G83" s="12" t="s">
        <v>196</v>
      </c>
      <c r="H83" s="12" t="s">
        <v>197</v>
      </c>
      <c r="I83" s="12" t="s">
        <v>198</v>
      </c>
      <c r="J83" s="14" t="n">
        <v>4950.95</v>
      </c>
      <c r="K83" s="12" t="s">
        <v>199</v>
      </c>
      <c r="L83" s="12" t="s">
        <v>200</v>
      </c>
    </row>
    <row r="84" customFormat="false" ht="15" hidden="false" customHeight="false" outlineLevel="0" collapsed="false">
      <c r="C84" s="12" t="s">
        <v>194</v>
      </c>
      <c r="D84" s="12" t="s">
        <v>195</v>
      </c>
      <c r="E84" s="13" t="n">
        <v>2018</v>
      </c>
      <c r="F84" s="13" t="n">
        <v>4</v>
      </c>
      <c r="G84" s="12" t="s">
        <v>196</v>
      </c>
      <c r="H84" s="12" t="s">
        <v>197</v>
      </c>
      <c r="I84" s="12" t="s">
        <v>198</v>
      </c>
      <c r="J84" s="14" t="n">
        <v>4961.84</v>
      </c>
      <c r="K84" s="12" t="s">
        <v>199</v>
      </c>
      <c r="L84" s="12" t="s">
        <v>200</v>
      </c>
    </row>
    <row r="85" customFormat="false" ht="15" hidden="false" customHeight="false" outlineLevel="0" collapsed="false">
      <c r="C85" s="12" t="s">
        <v>194</v>
      </c>
      <c r="D85" s="12" t="s">
        <v>195</v>
      </c>
      <c r="E85" s="13" t="n">
        <v>2018</v>
      </c>
      <c r="F85" s="13" t="n">
        <v>5</v>
      </c>
      <c r="G85" s="12" t="s">
        <v>196</v>
      </c>
      <c r="H85" s="12" t="s">
        <v>197</v>
      </c>
      <c r="I85" s="12" t="s">
        <v>198</v>
      </c>
      <c r="J85" s="14" t="n">
        <v>4981.69</v>
      </c>
      <c r="K85" s="12" t="s">
        <v>199</v>
      </c>
      <c r="L85" s="12" t="s">
        <v>200</v>
      </c>
    </row>
    <row r="86" customFormat="false" ht="15" hidden="false" customHeight="false" outlineLevel="0" collapsed="false">
      <c r="C86" s="12" t="s">
        <v>194</v>
      </c>
      <c r="D86" s="12" t="s">
        <v>195</v>
      </c>
      <c r="E86" s="13" t="n">
        <v>2018</v>
      </c>
      <c r="F86" s="13" t="n">
        <v>6</v>
      </c>
      <c r="G86" s="12" t="s">
        <v>196</v>
      </c>
      <c r="H86" s="12" t="s">
        <v>197</v>
      </c>
      <c r="I86" s="12" t="s">
        <v>198</v>
      </c>
      <c r="J86" s="14" t="n">
        <v>5044.46</v>
      </c>
      <c r="K86" s="12" t="s">
        <v>199</v>
      </c>
      <c r="L86" s="12" t="s">
        <v>200</v>
      </c>
    </row>
    <row r="87" customFormat="false" ht="15" hidden="false" customHeight="false" outlineLevel="0" collapsed="false">
      <c r="C87" s="12" t="s">
        <v>194</v>
      </c>
      <c r="D87" s="12" t="s">
        <v>195</v>
      </c>
      <c r="E87" s="13" t="n">
        <v>2018</v>
      </c>
      <c r="F87" s="13" t="n">
        <v>7</v>
      </c>
      <c r="G87" s="12" t="s">
        <v>196</v>
      </c>
      <c r="H87" s="12" t="s">
        <v>197</v>
      </c>
      <c r="I87" s="12" t="s">
        <v>198</v>
      </c>
      <c r="J87" s="14" t="n">
        <v>5061.11</v>
      </c>
      <c r="K87" s="12" t="s">
        <v>199</v>
      </c>
      <c r="L87" s="12" t="s">
        <v>200</v>
      </c>
    </row>
    <row r="88" customFormat="false" ht="15" hidden="false" customHeight="false" outlineLevel="0" collapsed="false">
      <c r="C88" s="12" t="s">
        <v>194</v>
      </c>
      <c r="D88" s="12" t="s">
        <v>195</v>
      </c>
      <c r="E88" s="13" t="n">
        <v>2018</v>
      </c>
      <c r="F88" s="13" t="n">
        <v>8</v>
      </c>
      <c r="G88" s="12" t="s">
        <v>196</v>
      </c>
      <c r="H88" s="12" t="s">
        <v>197</v>
      </c>
      <c r="I88" s="12" t="s">
        <v>198</v>
      </c>
      <c r="J88" s="14" t="n">
        <v>5056.56</v>
      </c>
      <c r="K88" s="12" t="s">
        <v>199</v>
      </c>
      <c r="L88" s="12" t="s">
        <v>200</v>
      </c>
    </row>
    <row r="89" customFormat="false" ht="15" hidden="false" customHeight="false" outlineLevel="0" collapsed="false">
      <c r="C89" s="12" t="s">
        <v>194</v>
      </c>
      <c r="D89" s="12" t="s">
        <v>195</v>
      </c>
      <c r="E89" s="13" t="n">
        <v>2018</v>
      </c>
      <c r="F89" s="13" t="n">
        <v>9</v>
      </c>
      <c r="G89" s="12" t="s">
        <v>196</v>
      </c>
      <c r="H89" s="12" t="s">
        <v>197</v>
      </c>
      <c r="I89" s="12" t="s">
        <v>198</v>
      </c>
      <c r="J89" s="14" t="n">
        <v>5080.83</v>
      </c>
      <c r="K89" s="12" t="s">
        <v>199</v>
      </c>
      <c r="L89" s="12" t="s">
        <v>200</v>
      </c>
    </row>
    <row r="90" customFormat="false" ht="15" hidden="false" customHeight="false" outlineLevel="0" collapsed="false">
      <c r="C90" s="12" t="s">
        <v>194</v>
      </c>
      <c r="D90" s="12" t="s">
        <v>195</v>
      </c>
      <c r="E90" s="13" t="n">
        <v>2018</v>
      </c>
      <c r="F90" s="13" t="n">
        <v>10</v>
      </c>
      <c r="G90" s="12" t="s">
        <v>196</v>
      </c>
      <c r="H90" s="12" t="s">
        <v>197</v>
      </c>
      <c r="I90" s="12" t="s">
        <v>198</v>
      </c>
      <c r="J90" s="14" t="n">
        <v>5103.69</v>
      </c>
      <c r="K90" s="12" t="s">
        <v>199</v>
      </c>
      <c r="L90" s="12" t="s">
        <v>200</v>
      </c>
    </row>
    <row r="91" customFormat="false" ht="15" hidden="false" customHeight="false" outlineLevel="0" collapsed="false">
      <c r="C91" s="12" t="s">
        <v>194</v>
      </c>
      <c r="D91" s="12" t="s">
        <v>195</v>
      </c>
      <c r="E91" s="13" t="n">
        <v>2018</v>
      </c>
      <c r="F91" s="13" t="n">
        <v>11</v>
      </c>
      <c r="G91" s="12" t="s">
        <v>196</v>
      </c>
      <c r="H91" s="12" t="s">
        <v>197</v>
      </c>
      <c r="I91" s="12" t="s">
        <v>198</v>
      </c>
      <c r="J91" s="14" t="n">
        <v>5092.97</v>
      </c>
      <c r="K91" s="12" t="s">
        <v>199</v>
      </c>
      <c r="L91" s="12" t="s">
        <v>200</v>
      </c>
    </row>
    <row r="92" customFormat="false" ht="15" hidden="false" customHeight="false" outlineLevel="0" collapsed="false">
      <c r="C92" s="12" t="s">
        <v>194</v>
      </c>
      <c r="D92" s="12" t="s">
        <v>195</v>
      </c>
      <c r="E92" s="13" t="n">
        <v>2018</v>
      </c>
      <c r="F92" s="13" t="n">
        <v>12</v>
      </c>
      <c r="G92" s="12" t="s">
        <v>196</v>
      </c>
      <c r="H92" s="12" t="s">
        <v>197</v>
      </c>
      <c r="I92" s="12" t="s">
        <v>198</v>
      </c>
      <c r="J92" s="14" t="n">
        <v>5100.61</v>
      </c>
      <c r="K92" s="12" t="s">
        <v>199</v>
      </c>
      <c r="L92" s="12" t="s">
        <v>200</v>
      </c>
    </row>
    <row r="93" customFormat="false" ht="15" hidden="false" customHeight="false" outlineLevel="0" collapsed="false">
      <c r="C93" s="12" t="s">
        <v>194</v>
      </c>
      <c r="D93" s="12" t="s">
        <v>195</v>
      </c>
      <c r="E93" s="13" t="n">
        <v>2019</v>
      </c>
      <c r="F93" s="13" t="n">
        <v>1</v>
      </c>
      <c r="G93" s="12" t="s">
        <v>196</v>
      </c>
      <c r="H93" s="12" t="s">
        <v>197</v>
      </c>
      <c r="I93" s="12" t="s">
        <v>198</v>
      </c>
      <c r="J93" s="14" t="n">
        <v>5116.93</v>
      </c>
      <c r="K93" s="12" t="s">
        <v>199</v>
      </c>
      <c r="L93" s="12" t="s">
        <v>200</v>
      </c>
    </row>
    <row r="94" customFormat="false" ht="15" hidden="false" customHeight="false" outlineLevel="0" collapsed="false">
      <c r="C94" s="12" t="s">
        <v>194</v>
      </c>
      <c r="D94" s="12" t="s">
        <v>195</v>
      </c>
      <c r="E94" s="13" t="n">
        <v>2019</v>
      </c>
      <c r="F94" s="13" t="n">
        <v>2</v>
      </c>
      <c r="G94" s="12" t="s">
        <v>196</v>
      </c>
      <c r="H94" s="12" t="s">
        <v>197</v>
      </c>
      <c r="I94" s="12" t="s">
        <v>198</v>
      </c>
      <c r="J94" s="14" t="n">
        <v>5138.93</v>
      </c>
      <c r="K94" s="12" t="s">
        <v>199</v>
      </c>
      <c r="L94" s="12" t="s">
        <v>200</v>
      </c>
    </row>
    <row r="95" customFormat="false" ht="15" hidden="false" customHeight="false" outlineLevel="0" collapsed="false">
      <c r="C95" s="12" t="s">
        <v>194</v>
      </c>
      <c r="D95" s="12" t="s">
        <v>195</v>
      </c>
      <c r="E95" s="13" t="n">
        <v>2019</v>
      </c>
      <c r="F95" s="13" t="n">
        <v>3</v>
      </c>
      <c r="G95" s="12" t="s">
        <v>196</v>
      </c>
      <c r="H95" s="12" t="s">
        <v>197</v>
      </c>
      <c r="I95" s="12" t="s">
        <v>198</v>
      </c>
      <c r="J95" s="14" t="n">
        <v>5177.47</v>
      </c>
      <c r="K95" s="12" t="s">
        <v>199</v>
      </c>
      <c r="L95" s="12" t="s">
        <v>200</v>
      </c>
    </row>
    <row r="96" customFormat="false" ht="15" hidden="false" customHeight="false" outlineLevel="0" collapsed="false">
      <c r="C96" s="12" t="s">
        <v>194</v>
      </c>
      <c r="D96" s="12" t="s">
        <v>195</v>
      </c>
      <c r="E96" s="13" t="n">
        <v>2019</v>
      </c>
      <c r="F96" s="13" t="n">
        <v>4</v>
      </c>
      <c r="G96" s="12" t="s">
        <v>196</v>
      </c>
      <c r="H96" s="12" t="s">
        <v>197</v>
      </c>
      <c r="I96" s="12" t="s">
        <v>198</v>
      </c>
      <c r="J96" s="14" t="n">
        <v>5206.98</v>
      </c>
      <c r="K96" s="12" t="s">
        <v>199</v>
      </c>
      <c r="L96" s="12" t="s">
        <v>200</v>
      </c>
    </row>
    <row r="97" customFormat="false" ht="15" hidden="false" customHeight="false" outlineLevel="0" collapsed="false">
      <c r="C97" s="12" t="s">
        <v>194</v>
      </c>
      <c r="D97" s="12" t="s">
        <v>195</v>
      </c>
      <c r="E97" s="13" t="n">
        <v>2019</v>
      </c>
      <c r="F97" s="13" t="n">
        <v>5</v>
      </c>
      <c r="G97" s="12" t="s">
        <v>196</v>
      </c>
      <c r="H97" s="12" t="s">
        <v>197</v>
      </c>
      <c r="I97" s="12" t="s">
        <v>198</v>
      </c>
      <c r="J97" s="14" t="n">
        <v>5213.75</v>
      </c>
      <c r="K97" s="12" t="s">
        <v>199</v>
      </c>
      <c r="L97" s="12" t="s">
        <v>200</v>
      </c>
    </row>
    <row r="98" customFormat="false" ht="15" hidden="false" customHeight="false" outlineLevel="0" collapsed="false">
      <c r="C98" s="12" t="s">
        <v>194</v>
      </c>
      <c r="D98" s="12" t="s">
        <v>195</v>
      </c>
      <c r="E98" s="13" t="n">
        <v>2019</v>
      </c>
      <c r="F98" s="13" t="n">
        <v>6</v>
      </c>
      <c r="G98" s="12" t="s">
        <v>196</v>
      </c>
      <c r="H98" s="12" t="s">
        <v>197</v>
      </c>
      <c r="I98" s="12" t="s">
        <v>198</v>
      </c>
      <c r="J98" s="14" t="n">
        <v>5214.27</v>
      </c>
      <c r="K98" s="12" t="s">
        <v>199</v>
      </c>
      <c r="L98" s="12" t="s">
        <v>200</v>
      </c>
    </row>
    <row r="99" customFormat="false" ht="15" hidden="false" customHeight="false" outlineLevel="0" collapsed="false">
      <c r="C99" s="12" t="s">
        <v>194</v>
      </c>
      <c r="D99" s="12" t="s">
        <v>195</v>
      </c>
      <c r="E99" s="13" t="n">
        <v>2019</v>
      </c>
      <c r="F99" s="13" t="n">
        <v>7</v>
      </c>
      <c r="G99" s="12" t="s">
        <v>196</v>
      </c>
      <c r="H99" s="12" t="s">
        <v>197</v>
      </c>
      <c r="I99" s="12" t="s">
        <v>198</v>
      </c>
      <c r="J99" s="14" t="n">
        <v>5224.18</v>
      </c>
      <c r="K99" s="12" t="s">
        <v>199</v>
      </c>
      <c r="L99" s="12" t="s">
        <v>200</v>
      </c>
    </row>
    <row r="100" customFormat="false" ht="15" hidden="false" customHeight="false" outlineLevel="0" collapsed="false">
      <c r="C100" s="12" t="s">
        <v>194</v>
      </c>
      <c r="D100" s="12" t="s">
        <v>195</v>
      </c>
      <c r="E100" s="13" t="n">
        <v>2019</v>
      </c>
      <c r="F100" s="13" t="n">
        <v>8</v>
      </c>
      <c r="G100" s="12" t="s">
        <v>196</v>
      </c>
      <c r="H100" s="12" t="s">
        <v>197</v>
      </c>
      <c r="I100" s="12" t="s">
        <v>198</v>
      </c>
      <c r="J100" s="14" t="n">
        <v>5229.93</v>
      </c>
      <c r="K100" s="12" t="s">
        <v>199</v>
      </c>
      <c r="L100" s="12" t="s">
        <v>200</v>
      </c>
    </row>
    <row r="101" customFormat="false" ht="15" hidden="false" customHeight="false" outlineLevel="0" collapsed="false">
      <c r="C101" s="12" t="s">
        <v>194</v>
      </c>
      <c r="D101" s="12" t="s">
        <v>195</v>
      </c>
      <c r="E101" s="13" t="n">
        <v>2019</v>
      </c>
      <c r="F101" s="13" t="n">
        <v>9</v>
      </c>
      <c r="G101" s="12" t="s">
        <v>196</v>
      </c>
      <c r="H101" s="12" t="s">
        <v>197</v>
      </c>
      <c r="I101" s="12" t="s">
        <v>198</v>
      </c>
      <c r="J101" s="14" t="n">
        <v>5227.84</v>
      </c>
      <c r="K101" s="12" t="s">
        <v>199</v>
      </c>
      <c r="L101" s="12" t="s">
        <v>200</v>
      </c>
    </row>
    <row r="102" customFormat="false" ht="15" hidden="false" customHeight="false" outlineLevel="0" collapsed="false">
      <c r="C102" s="12" t="s">
        <v>194</v>
      </c>
      <c r="D102" s="12" t="s">
        <v>195</v>
      </c>
      <c r="E102" s="13" t="n">
        <v>2019</v>
      </c>
      <c r="F102" s="13" t="n">
        <v>10</v>
      </c>
      <c r="G102" s="12" t="s">
        <v>196</v>
      </c>
      <c r="H102" s="12" t="s">
        <v>197</v>
      </c>
      <c r="I102" s="12" t="s">
        <v>198</v>
      </c>
      <c r="J102" s="14" t="n">
        <v>5233.07</v>
      </c>
      <c r="K102" s="12" t="s">
        <v>199</v>
      </c>
      <c r="L102" s="12" t="s">
        <v>200</v>
      </c>
    </row>
    <row r="103" customFormat="false" ht="15" hidden="false" customHeight="false" outlineLevel="0" collapsed="false">
      <c r="C103" s="12" t="s">
        <v>194</v>
      </c>
      <c r="D103" s="12" t="s">
        <v>195</v>
      </c>
      <c r="E103" s="13" t="n">
        <v>2019</v>
      </c>
      <c r="F103" s="13" t="n">
        <v>11</v>
      </c>
      <c r="G103" s="12" t="s">
        <v>196</v>
      </c>
      <c r="H103" s="12" t="s">
        <v>197</v>
      </c>
      <c r="I103" s="12" t="s">
        <v>198</v>
      </c>
      <c r="J103" s="14" t="n">
        <v>5259.76</v>
      </c>
      <c r="K103" s="12" t="s">
        <v>199</v>
      </c>
      <c r="L103" s="12" t="s">
        <v>200</v>
      </c>
    </row>
    <row r="104" customFormat="false" ht="15" hidden="false" customHeight="false" outlineLevel="0" collapsed="false">
      <c r="C104" s="12" t="s">
        <v>194</v>
      </c>
      <c r="D104" s="12" t="s">
        <v>195</v>
      </c>
      <c r="E104" s="13" t="n">
        <v>2019</v>
      </c>
      <c r="F104" s="13" t="n">
        <v>12</v>
      </c>
      <c r="G104" s="12" t="s">
        <v>196</v>
      </c>
      <c r="H104" s="12" t="s">
        <v>197</v>
      </c>
      <c r="I104" s="12" t="s">
        <v>198</v>
      </c>
      <c r="J104" s="14" t="n">
        <v>5320.25</v>
      </c>
      <c r="K104" s="12" t="s">
        <v>199</v>
      </c>
      <c r="L104" s="12" t="s">
        <v>200</v>
      </c>
    </row>
    <row r="105" customFormat="false" ht="15" hidden="false" customHeight="false" outlineLevel="0" collapsed="false">
      <c r="C105" s="12" t="s">
        <v>194</v>
      </c>
      <c r="D105" s="12" t="s">
        <v>195</v>
      </c>
      <c r="E105" s="13" t="n">
        <v>2020</v>
      </c>
      <c r="F105" s="13" t="n">
        <v>1</v>
      </c>
      <c r="G105" s="12" t="s">
        <v>196</v>
      </c>
      <c r="H105" s="12" t="s">
        <v>197</v>
      </c>
      <c r="I105" s="12" t="s">
        <v>198</v>
      </c>
      <c r="J105" s="14" t="n">
        <v>5331.42</v>
      </c>
      <c r="K105" s="12" t="s">
        <v>199</v>
      </c>
      <c r="L105" s="12" t="s">
        <v>200</v>
      </c>
    </row>
    <row r="106" customFormat="false" ht="15" hidden="false" customHeight="false" outlineLevel="0" collapsed="false">
      <c r="C106" s="12" t="s">
        <v>194</v>
      </c>
      <c r="D106" s="12" t="s">
        <v>195</v>
      </c>
      <c r="E106" s="13" t="n">
        <v>2020</v>
      </c>
      <c r="F106" s="13" t="n">
        <v>2</v>
      </c>
      <c r="G106" s="12" t="s">
        <v>196</v>
      </c>
      <c r="H106" s="12" t="s">
        <v>197</v>
      </c>
      <c r="I106" s="12" t="s">
        <v>198</v>
      </c>
      <c r="J106" s="14" t="n">
        <v>5344.75</v>
      </c>
      <c r="K106" s="12" t="s">
        <v>199</v>
      </c>
      <c r="L106" s="12" t="s">
        <v>200</v>
      </c>
    </row>
    <row r="107" customFormat="false" ht="15" hidden="false" customHeight="false" outlineLevel="0" collapsed="false">
      <c r="C107" s="12" t="s">
        <v>194</v>
      </c>
      <c r="D107" s="12" t="s">
        <v>195</v>
      </c>
      <c r="E107" s="13" t="n">
        <v>2020</v>
      </c>
      <c r="F107" s="13" t="n">
        <v>3</v>
      </c>
      <c r="G107" s="12" t="s">
        <v>196</v>
      </c>
      <c r="H107" s="12" t="s">
        <v>197</v>
      </c>
      <c r="I107" s="12" t="s">
        <v>198</v>
      </c>
      <c r="J107" s="14" t="n">
        <v>5348.49</v>
      </c>
      <c r="K107" s="12" t="s">
        <v>199</v>
      </c>
      <c r="L107" s="12" t="s">
        <v>200</v>
      </c>
    </row>
    <row r="108" customFormat="false" ht="15" hidden="false" customHeight="false" outlineLevel="0" collapsed="false">
      <c r="C108" s="12" t="s">
        <v>194</v>
      </c>
      <c r="D108" s="12" t="s">
        <v>195</v>
      </c>
      <c r="E108" s="13" t="n">
        <v>2020</v>
      </c>
      <c r="F108" s="13" t="n">
        <v>4</v>
      </c>
      <c r="G108" s="12" t="s">
        <v>196</v>
      </c>
      <c r="H108" s="12" t="s">
        <v>197</v>
      </c>
      <c r="I108" s="12" t="s">
        <v>198</v>
      </c>
      <c r="J108" s="14" t="n">
        <v>5331.91</v>
      </c>
      <c r="K108" s="12" t="s">
        <v>199</v>
      </c>
      <c r="L108" s="12" t="s">
        <v>200</v>
      </c>
    </row>
    <row r="109" customFormat="false" ht="15" hidden="false" customHeight="false" outlineLevel="0" collapsed="false">
      <c r="C109" s="12" t="s">
        <v>194</v>
      </c>
      <c r="D109" s="12" t="s">
        <v>195</v>
      </c>
      <c r="E109" s="13" t="n">
        <v>2020</v>
      </c>
      <c r="F109" s="13" t="n">
        <v>5</v>
      </c>
      <c r="G109" s="12" t="s">
        <v>196</v>
      </c>
      <c r="H109" s="12" t="s">
        <v>197</v>
      </c>
      <c r="I109" s="12" t="s">
        <v>198</v>
      </c>
      <c r="J109" s="14" t="n">
        <v>5311.65</v>
      </c>
      <c r="K109" s="12" t="s">
        <v>199</v>
      </c>
      <c r="L109" s="12" t="s">
        <v>200</v>
      </c>
    </row>
    <row r="110" customFormat="false" ht="15" hidden="false" customHeight="false" outlineLevel="0" collapsed="false">
      <c r="C110" s="12" t="s">
        <v>194</v>
      </c>
      <c r="D110" s="12" t="s">
        <v>195</v>
      </c>
      <c r="E110" s="13" t="n">
        <v>2020</v>
      </c>
      <c r="F110" s="13" t="n">
        <v>6</v>
      </c>
      <c r="G110" s="12" t="s">
        <v>196</v>
      </c>
      <c r="H110" s="12" t="s">
        <v>197</v>
      </c>
      <c r="I110" s="12" t="s">
        <v>198</v>
      </c>
      <c r="J110" s="14" t="n">
        <v>5325.46</v>
      </c>
      <c r="K110" s="12" t="s">
        <v>199</v>
      </c>
      <c r="L110" s="12" t="s">
        <v>200</v>
      </c>
    </row>
    <row r="111" customFormat="false" ht="15" hidden="false" customHeight="false" outlineLevel="0" collapsed="false">
      <c r="C111" s="12" t="s">
        <v>194</v>
      </c>
      <c r="D111" s="12" t="s">
        <v>195</v>
      </c>
      <c r="E111" s="13" t="n">
        <v>2020</v>
      </c>
      <c r="F111" s="13" t="n">
        <v>7</v>
      </c>
      <c r="G111" s="12" t="s">
        <v>196</v>
      </c>
      <c r="H111" s="12" t="s">
        <v>197</v>
      </c>
      <c r="I111" s="12" t="s">
        <v>198</v>
      </c>
      <c r="J111" s="14" t="n">
        <v>5344.63</v>
      </c>
      <c r="K111" s="12" t="s">
        <v>199</v>
      </c>
      <c r="L111" s="12" t="s">
        <v>200</v>
      </c>
    </row>
    <row r="112" customFormat="false" ht="15" hidden="false" customHeight="false" outlineLevel="0" collapsed="false">
      <c r="C112" s="12" t="s">
        <v>194</v>
      </c>
      <c r="D112" s="12" t="s">
        <v>195</v>
      </c>
      <c r="E112" s="13" t="n">
        <v>2020</v>
      </c>
      <c r="F112" s="13" t="n">
        <v>8</v>
      </c>
      <c r="G112" s="12" t="s">
        <v>196</v>
      </c>
      <c r="H112" s="12" t="s">
        <v>197</v>
      </c>
      <c r="I112" s="12" t="s">
        <v>198</v>
      </c>
      <c r="J112" s="14" t="n">
        <v>5357.46</v>
      </c>
      <c r="K112" s="12" t="s">
        <v>199</v>
      </c>
      <c r="L112" s="12" t="s">
        <v>200</v>
      </c>
    </row>
    <row r="113" customFormat="false" ht="15" hidden="false" customHeight="false" outlineLevel="0" collapsed="false">
      <c r="C113" s="12" t="s">
        <v>194</v>
      </c>
      <c r="D113" s="12" t="s">
        <v>195</v>
      </c>
      <c r="E113" s="13" t="n">
        <v>2020</v>
      </c>
      <c r="F113" s="13" t="n">
        <v>9</v>
      </c>
      <c r="G113" s="12" t="s">
        <v>196</v>
      </c>
      <c r="H113" s="12" t="s">
        <v>197</v>
      </c>
      <c r="I113" s="12" t="s">
        <v>198</v>
      </c>
      <c r="J113" s="14" t="n">
        <v>5391.75</v>
      </c>
      <c r="K113" s="12" t="s">
        <v>199</v>
      </c>
      <c r="L113" s="12" t="s">
        <v>200</v>
      </c>
    </row>
    <row r="114" customFormat="false" ht="15" hidden="false" customHeight="false" outlineLevel="0" collapsed="false">
      <c r="C114" s="12" t="s">
        <v>194</v>
      </c>
      <c r="D114" s="12" t="s">
        <v>195</v>
      </c>
      <c r="E114" s="13" t="n">
        <v>2020</v>
      </c>
      <c r="F114" s="13" t="n">
        <v>10</v>
      </c>
      <c r="G114" s="12" t="s">
        <v>196</v>
      </c>
      <c r="H114" s="12" t="s">
        <v>197</v>
      </c>
      <c r="I114" s="12" t="s">
        <v>198</v>
      </c>
      <c r="J114" s="14" t="n">
        <v>5438.12</v>
      </c>
      <c r="K114" s="12" t="s">
        <v>199</v>
      </c>
      <c r="L114" s="12" t="s">
        <v>200</v>
      </c>
    </row>
    <row r="115" customFormat="false" ht="15" hidden="false" customHeight="false" outlineLevel="0" collapsed="false">
      <c r="C115" s="12" t="s">
        <v>194</v>
      </c>
      <c r="D115" s="12" t="s">
        <v>195</v>
      </c>
      <c r="E115" s="13" t="n">
        <v>2020</v>
      </c>
      <c r="F115" s="13" t="n">
        <v>11</v>
      </c>
      <c r="G115" s="12" t="s">
        <v>196</v>
      </c>
      <c r="H115" s="12" t="s">
        <v>197</v>
      </c>
      <c r="I115" s="12" t="s">
        <v>198</v>
      </c>
      <c r="J115" s="14" t="n">
        <v>5486.52</v>
      </c>
      <c r="K115" s="12" t="s">
        <v>199</v>
      </c>
      <c r="L115" s="12" t="s">
        <v>200</v>
      </c>
    </row>
    <row r="116" customFormat="false" ht="15" hidden="false" customHeight="false" outlineLevel="0" collapsed="false">
      <c r="C116" s="12" t="s">
        <v>194</v>
      </c>
      <c r="D116" s="12" t="s">
        <v>195</v>
      </c>
      <c r="E116" s="13" t="n">
        <v>2020</v>
      </c>
      <c r="F116" s="13" t="n">
        <v>12</v>
      </c>
      <c r="G116" s="12" t="s">
        <v>196</v>
      </c>
      <c r="H116" s="12" t="s">
        <v>197</v>
      </c>
      <c r="I116" s="12" t="s">
        <v>198</v>
      </c>
      <c r="J116" s="14" t="n">
        <v>5560.59</v>
      </c>
      <c r="K116" s="12" t="s">
        <v>199</v>
      </c>
      <c r="L116" s="12" t="s">
        <v>200</v>
      </c>
    </row>
    <row r="117" customFormat="false" ht="15" hidden="false" customHeight="false" outlineLevel="0" collapsed="false">
      <c r="C117" s="12" t="s">
        <v>194</v>
      </c>
      <c r="D117" s="12" t="s">
        <v>195</v>
      </c>
      <c r="E117" s="13" t="n">
        <v>2021</v>
      </c>
      <c r="F117" s="13" t="n">
        <v>1</v>
      </c>
      <c r="G117" s="12" t="s">
        <v>196</v>
      </c>
      <c r="H117" s="12" t="s">
        <v>197</v>
      </c>
      <c r="I117" s="12" t="s">
        <v>198</v>
      </c>
      <c r="J117" s="14" t="n">
        <v>5574.49</v>
      </c>
      <c r="K117" s="12" t="s">
        <v>199</v>
      </c>
      <c r="L117" s="12" t="s">
        <v>200</v>
      </c>
    </row>
    <row r="118" customFormat="false" ht="15" hidden="false" customHeight="false" outlineLevel="0" collapsed="false">
      <c r="C118" s="12" t="s">
        <v>194</v>
      </c>
      <c r="D118" s="12" t="s">
        <v>195</v>
      </c>
      <c r="E118" s="13" t="n">
        <v>2021</v>
      </c>
      <c r="F118" s="13" t="n">
        <v>2</v>
      </c>
      <c r="G118" s="12" t="s">
        <v>196</v>
      </c>
      <c r="H118" s="12" t="s">
        <v>197</v>
      </c>
      <c r="I118" s="12" t="s">
        <v>198</v>
      </c>
      <c r="J118" s="14" t="n">
        <v>5622.43</v>
      </c>
      <c r="K118" s="12" t="s">
        <v>199</v>
      </c>
      <c r="L118" s="12" t="s">
        <v>200</v>
      </c>
    </row>
    <row r="119" customFormat="false" ht="15" hidden="false" customHeight="false" outlineLevel="0" collapsed="false">
      <c r="C119" s="12" t="s">
        <v>194</v>
      </c>
      <c r="D119" s="12" t="s">
        <v>195</v>
      </c>
      <c r="E119" s="13" t="n">
        <v>2021</v>
      </c>
      <c r="F119" s="13" t="n">
        <v>3</v>
      </c>
      <c r="G119" s="12" t="s">
        <v>196</v>
      </c>
      <c r="H119" s="12" t="s">
        <v>197</v>
      </c>
      <c r="I119" s="12" t="s">
        <v>198</v>
      </c>
      <c r="J119" s="14" t="n">
        <v>5674.72</v>
      </c>
      <c r="K119" s="12" t="s">
        <v>199</v>
      </c>
      <c r="L119" s="12" t="s">
        <v>200</v>
      </c>
    </row>
    <row r="120" customFormat="false" ht="15" hidden="false" customHeight="false" outlineLevel="0" collapsed="false">
      <c r="C120" s="12" t="s">
        <v>194</v>
      </c>
      <c r="D120" s="12" t="s">
        <v>195</v>
      </c>
      <c r="E120" s="13" t="n">
        <v>2021</v>
      </c>
      <c r="F120" s="13" t="n">
        <v>4</v>
      </c>
      <c r="G120" s="12" t="s">
        <v>196</v>
      </c>
      <c r="H120" s="12" t="s">
        <v>197</v>
      </c>
      <c r="I120" s="12" t="s">
        <v>198</v>
      </c>
      <c r="J120" s="14" t="n">
        <v>5692.31</v>
      </c>
      <c r="K120" s="12" t="s">
        <v>199</v>
      </c>
      <c r="L120" s="12" t="s">
        <v>200</v>
      </c>
    </row>
    <row r="121" customFormat="false" ht="15" hidden="false" customHeight="false" outlineLevel="0" collapsed="false">
      <c r="C121" s="12" t="s">
        <v>194</v>
      </c>
      <c r="D121" s="12" t="s">
        <v>195</v>
      </c>
      <c r="E121" s="13" t="n">
        <v>2021</v>
      </c>
      <c r="F121" s="13" t="n">
        <v>5</v>
      </c>
      <c r="G121" s="12" t="s">
        <v>196</v>
      </c>
      <c r="H121" s="12" t="s">
        <v>197</v>
      </c>
      <c r="I121" s="12" t="s">
        <v>198</v>
      </c>
      <c r="J121" s="14" t="n">
        <v>5739.56</v>
      </c>
      <c r="K121" s="12" t="s">
        <v>199</v>
      </c>
      <c r="L121" s="12" t="s">
        <v>200</v>
      </c>
    </row>
    <row r="122" customFormat="false" ht="15" hidden="false" customHeight="false" outlineLevel="0" collapsed="false">
      <c r="C122" s="12" t="s">
        <v>194</v>
      </c>
      <c r="D122" s="12" t="s">
        <v>195</v>
      </c>
      <c r="E122" s="13" t="n">
        <v>2021</v>
      </c>
      <c r="F122" s="13" t="n">
        <v>6</v>
      </c>
      <c r="G122" s="12" t="s">
        <v>196</v>
      </c>
      <c r="H122" s="12" t="s">
        <v>197</v>
      </c>
      <c r="I122" s="12" t="s">
        <v>198</v>
      </c>
      <c r="J122" s="14" t="n">
        <v>5769.98</v>
      </c>
      <c r="K122" s="12" t="s">
        <v>199</v>
      </c>
      <c r="L122" s="12" t="s">
        <v>200</v>
      </c>
    </row>
    <row r="123" customFormat="false" ht="15" hidden="false" customHeight="false" outlineLevel="0" collapsed="false">
      <c r="C123" s="12" t="s">
        <v>194</v>
      </c>
      <c r="D123" s="12" t="s">
        <v>195</v>
      </c>
      <c r="E123" s="13" t="n">
        <v>2021</v>
      </c>
      <c r="F123" s="13" t="n">
        <v>7</v>
      </c>
      <c r="G123" s="12" t="s">
        <v>196</v>
      </c>
      <c r="H123" s="12" t="s">
        <v>197</v>
      </c>
      <c r="I123" s="12" t="s">
        <v>198</v>
      </c>
      <c r="J123" s="14" t="n">
        <v>5825.37</v>
      </c>
      <c r="K123" s="12" t="s">
        <v>199</v>
      </c>
      <c r="L123" s="12" t="s">
        <v>200</v>
      </c>
    </row>
    <row r="124" customFormat="false" ht="15" hidden="false" customHeight="false" outlineLevel="0" collapsed="false">
      <c r="C124" s="12" t="s">
        <v>194</v>
      </c>
      <c r="D124" s="12" t="s">
        <v>195</v>
      </c>
      <c r="E124" s="13" t="n">
        <v>2021</v>
      </c>
      <c r="F124" s="13" t="n">
        <v>8</v>
      </c>
      <c r="G124" s="12" t="s">
        <v>196</v>
      </c>
      <c r="H124" s="12" t="s">
        <v>197</v>
      </c>
      <c r="I124" s="12" t="s">
        <v>198</v>
      </c>
      <c r="J124" s="14" t="n">
        <v>5876.05</v>
      </c>
      <c r="K124" s="12" t="s">
        <v>199</v>
      </c>
      <c r="L124" s="12" t="s">
        <v>200</v>
      </c>
    </row>
    <row r="125" customFormat="false" ht="15" hidden="false" customHeight="false" outlineLevel="0" collapsed="false">
      <c r="C125" s="12" t="s">
        <v>194</v>
      </c>
      <c r="D125" s="12" t="s">
        <v>195</v>
      </c>
      <c r="E125" s="13" t="n">
        <v>2021</v>
      </c>
      <c r="F125" s="13" t="n">
        <v>9</v>
      </c>
      <c r="G125" s="12" t="s">
        <v>196</v>
      </c>
      <c r="H125" s="12" t="s">
        <v>197</v>
      </c>
      <c r="I125" s="12" t="s">
        <v>198</v>
      </c>
      <c r="J125" s="14" t="n">
        <v>5944.21</v>
      </c>
      <c r="K125" s="12" t="s">
        <v>199</v>
      </c>
      <c r="L125" s="12" t="s">
        <v>200</v>
      </c>
    </row>
    <row r="126" customFormat="false" ht="15" hidden="false" customHeight="false" outlineLevel="0" collapsed="false">
      <c r="C126" s="12" t="s">
        <v>194</v>
      </c>
      <c r="D126" s="12" t="s">
        <v>195</v>
      </c>
      <c r="E126" s="13" t="n">
        <v>2021</v>
      </c>
      <c r="F126" s="13" t="n">
        <v>10</v>
      </c>
      <c r="G126" s="12" t="s">
        <v>196</v>
      </c>
      <c r="H126" s="12" t="s">
        <v>197</v>
      </c>
      <c r="I126" s="12" t="s">
        <v>198</v>
      </c>
      <c r="J126" s="14" t="n">
        <v>6018.51</v>
      </c>
      <c r="K126" s="12" t="s">
        <v>199</v>
      </c>
      <c r="L126" s="12" t="s">
        <v>200</v>
      </c>
    </row>
    <row r="127" customFormat="false" ht="15" hidden="false" customHeight="false" outlineLevel="0" collapsed="false">
      <c r="C127" s="12" t="s">
        <v>194</v>
      </c>
      <c r="D127" s="12" t="s">
        <v>195</v>
      </c>
      <c r="E127" s="13" t="n">
        <v>2021</v>
      </c>
      <c r="F127" s="13" t="n">
        <v>11</v>
      </c>
      <c r="G127" s="12" t="s">
        <v>196</v>
      </c>
      <c r="H127" s="12" t="s">
        <v>197</v>
      </c>
      <c r="I127" s="12" t="s">
        <v>198</v>
      </c>
      <c r="J127" s="14" t="n">
        <v>6075.69</v>
      </c>
      <c r="K127" s="12" t="s">
        <v>199</v>
      </c>
      <c r="L127" s="12" t="s">
        <v>200</v>
      </c>
    </row>
    <row r="128" customFormat="false" ht="15" hidden="false" customHeight="false" outlineLevel="0" collapsed="false">
      <c r="C128" s="12" t="s">
        <v>194</v>
      </c>
      <c r="D128" s="12" t="s">
        <v>195</v>
      </c>
      <c r="E128" s="13" t="n">
        <v>2021</v>
      </c>
      <c r="F128" s="13" t="n">
        <v>12</v>
      </c>
      <c r="G128" s="12" t="s">
        <v>196</v>
      </c>
      <c r="H128" s="12" t="s">
        <v>197</v>
      </c>
      <c r="I128" s="12" t="s">
        <v>198</v>
      </c>
      <c r="J128" s="14" t="n">
        <v>6120.04</v>
      </c>
      <c r="K128" s="12" t="s">
        <v>199</v>
      </c>
      <c r="L128" s="12" t="s">
        <v>200</v>
      </c>
    </row>
    <row r="129" customFormat="false" ht="15" hidden="false" customHeight="false" outlineLevel="0" collapsed="false">
      <c r="C129" s="12" t="s">
        <v>194</v>
      </c>
      <c r="D129" s="12" t="s">
        <v>195</v>
      </c>
      <c r="E129" s="13" t="n">
        <v>2022</v>
      </c>
      <c r="F129" s="13" t="n">
        <v>1</v>
      </c>
      <c r="G129" s="12" t="s">
        <v>196</v>
      </c>
      <c r="H129" s="12" t="s">
        <v>197</v>
      </c>
      <c r="I129" s="12" t="s">
        <v>198</v>
      </c>
      <c r="J129" s="14" t="n">
        <v>6153.09</v>
      </c>
      <c r="K129" s="12" t="s">
        <v>199</v>
      </c>
      <c r="L129" s="12" t="s">
        <v>200</v>
      </c>
    </row>
    <row r="130" customFormat="false" ht="15" hidden="false" customHeight="false" outlineLevel="0" collapsed="false">
      <c r="C130" s="12" t="s">
        <v>194</v>
      </c>
      <c r="D130" s="12" t="s">
        <v>195</v>
      </c>
      <c r="E130" s="13" t="n">
        <v>2022</v>
      </c>
      <c r="F130" s="13" t="n">
        <v>2</v>
      </c>
      <c r="G130" s="12" t="s">
        <v>196</v>
      </c>
      <c r="H130" s="12" t="s">
        <v>197</v>
      </c>
      <c r="I130" s="12" t="s">
        <v>198</v>
      </c>
      <c r="J130" s="14" t="n">
        <v>6215.24</v>
      </c>
      <c r="K130" s="12" t="s">
        <v>199</v>
      </c>
      <c r="L130" s="12" t="s">
        <v>200</v>
      </c>
    </row>
    <row r="131" customFormat="false" ht="15" hidden="false" customHeight="false" outlineLevel="0" collapsed="false">
      <c r="C131" s="12" t="s">
        <v>194</v>
      </c>
      <c r="D131" s="12" t="s">
        <v>195</v>
      </c>
      <c r="E131" s="13" t="n">
        <v>2022</v>
      </c>
      <c r="F131" s="13" t="n">
        <v>3</v>
      </c>
      <c r="G131" s="12" t="s">
        <v>196</v>
      </c>
      <c r="H131" s="12" t="s">
        <v>197</v>
      </c>
      <c r="I131" s="12" t="s">
        <v>198</v>
      </c>
      <c r="J131" s="14" t="n">
        <v>6315.93</v>
      </c>
      <c r="K131" s="12" t="s">
        <v>199</v>
      </c>
      <c r="L131" s="12" t="s">
        <v>200</v>
      </c>
    </row>
    <row r="132" customFormat="false" ht="15" hidden="false" customHeight="false" outlineLevel="0" collapsed="false">
      <c r="C132" s="12" t="s">
        <v>194</v>
      </c>
      <c r="D132" s="12" t="s">
        <v>195</v>
      </c>
      <c r="E132" s="13" t="n">
        <v>2022</v>
      </c>
      <c r="F132" s="13" t="n">
        <v>4</v>
      </c>
      <c r="G132" s="12" t="s">
        <v>196</v>
      </c>
      <c r="H132" s="12" t="s">
        <v>197</v>
      </c>
      <c r="I132" s="12" t="s">
        <v>198</v>
      </c>
      <c r="J132" s="14" t="n">
        <v>6382.88</v>
      </c>
      <c r="K132" s="12" t="s">
        <v>199</v>
      </c>
      <c r="L132" s="12" t="s">
        <v>200</v>
      </c>
    </row>
    <row r="133" customFormat="false" ht="15" hidden="false" customHeight="false" outlineLevel="0" collapsed="false">
      <c r="C133" s="12" t="s">
        <v>194</v>
      </c>
      <c r="D133" s="12" t="s">
        <v>195</v>
      </c>
      <c r="E133" s="13" t="n">
        <v>2022</v>
      </c>
      <c r="F133" s="13" t="n">
        <v>5</v>
      </c>
      <c r="G133" s="12" t="s">
        <v>196</v>
      </c>
      <c r="H133" s="12" t="s">
        <v>197</v>
      </c>
      <c r="I133" s="12" t="s">
        <v>198</v>
      </c>
      <c r="J133" s="14" t="n">
        <v>6412.88</v>
      </c>
      <c r="K133" s="12" t="s">
        <v>199</v>
      </c>
      <c r="L133" s="12" t="s">
        <v>200</v>
      </c>
    </row>
    <row r="134" customFormat="false" ht="15" hidden="false" customHeight="false" outlineLevel="0" collapsed="false">
      <c r="C134" s="12" t="s">
        <v>194</v>
      </c>
      <c r="D134" s="12" t="s">
        <v>195</v>
      </c>
      <c r="E134" s="13" t="n">
        <v>2022</v>
      </c>
      <c r="F134" s="13" t="n">
        <v>6</v>
      </c>
      <c r="G134" s="12" t="s">
        <v>196</v>
      </c>
      <c r="H134" s="12" t="s">
        <v>197</v>
      </c>
      <c r="I134" s="12" t="s">
        <v>198</v>
      </c>
      <c r="J134" s="14" t="n">
        <v>6455.85</v>
      </c>
      <c r="K134" s="12" t="s">
        <v>199</v>
      </c>
      <c r="L134" s="12" t="s">
        <v>200</v>
      </c>
    </row>
    <row r="135" customFormat="false" ht="15" hidden="false" customHeight="false" outlineLevel="0" collapsed="false">
      <c r="C135" s="12" t="s">
        <v>194</v>
      </c>
      <c r="D135" s="12" t="s">
        <v>195</v>
      </c>
      <c r="E135" s="13" t="n">
        <v>2022</v>
      </c>
      <c r="F135" s="13" t="n">
        <v>7</v>
      </c>
      <c r="G135" s="12" t="s">
        <v>196</v>
      </c>
      <c r="H135" s="12" t="s">
        <v>197</v>
      </c>
      <c r="I135" s="12" t="s">
        <v>198</v>
      </c>
      <c r="J135" s="14" t="n">
        <v>6411.95</v>
      </c>
      <c r="K135" s="12" t="s">
        <v>199</v>
      </c>
      <c r="L135" s="12" t="s">
        <v>200</v>
      </c>
    </row>
    <row r="136" customFormat="false" ht="15" hidden="false" customHeight="false" outlineLevel="0" collapsed="false">
      <c r="C136" s="12" t="s">
        <v>194</v>
      </c>
      <c r="D136" s="12" t="s">
        <v>195</v>
      </c>
      <c r="E136" s="13" t="n">
        <v>2022</v>
      </c>
      <c r="F136" s="13" t="n">
        <v>8</v>
      </c>
      <c r="G136" s="12" t="s">
        <v>196</v>
      </c>
      <c r="H136" s="12" t="s">
        <v>197</v>
      </c>
      <c r="I136" s="12" t="s">
        <v>198</v>
      </c>
      <c r="J136" s="14" t="n">
        <v>6388.87</v>
      </c>
      <c r="K136" s="12" t="s">
        <v>199</v>
      </c>
      <c r="L136" s="12" t="s">
        <v>200</v>
      </c>
    </row>
    <row r="137" customFormat="false" ht="15" hidden="false" customHeight="false" outlineLevel="0" collapsed="false">
      <c r="C137" s="12" t="s">
        <v>194</v>
      </c>
      <c r="D137" s="12" t="s">
        <v>195</v>
      </c>
      <c r="E137" s="13" t="n">
        <v>2022</v>
      </c>
      <c r="F137" s="13" t="n">
        <v>9</v>
      </c>
      <c r="G137" s="12" t="s">
        <v>196</v>
      </c>
      <c r="H137" s="12" t="s">
        <v>197</v>
      </c>
      <c r="I137" s="12" t="s">
        <v>198</v>
      </c>
      <c r="J137" s="14" t="n">
        <v>6370.34</v>
      </c>
      <c r="K137" s="12" t="s">
        <v>199</v>
      </c>
      <c r="L137" s="12" t="s">
        <v>200</v>
      </c>
    </row>
    <row r="138" customFormat="false" ht="15" hidden="false" customHeight="false" outlineLevel="0" collapsed="false">
      <c r="C138" s="12" t="s">
        <v>194</v>
      </c>
      <c r="D138" s="12" t="s">
        <v>195</v>
      </c>
      <c r="E138" s="13" t="n">
        <v>2022</v>
      </c>
      <c r="F138" s="13" t="n">
        <v>10</v>
      </c>
      <c r="G138" s="12" t="s">
        <v>196</v>
      </c>
      <c r="H138" s="12" t="s">
        <v>197</v>
      </c>
      <c r="I138" s="12" t="s">
        <v>198</v>
      </c>
      <c r="J138" s="14" t="n">
        <v>6407.93</v>
      </c>
      <c r="K138" s="12" t="s">
        <v>199</v>
      </c>
      <c r="L138" s="12" t="s">
        <v>200</v>
      </c>
    </row>
    <row r="139" customFormat="false" ht="15" hidden="false" customHeight="false" outlineLevel="0" collapsed="false">
      <c r="C139" s="12" t="s">
        <v>194</v>
      </c>
      <c r="D139" s="12" t="s">
        <v>195</v>
      </c>
      <c r="E139" s="13" t="n">
        <v>2022</v>
      </c>
      <c r="F139" s="13" t="n">
        <v>11</v>
      </c>
      <c r="G139" s="12" t="s">
        <v>196</v>
      </c>
      <c r="H139" s="12" t="s">
        <v>197</v>
      </c>
      <c r="I139" s="12" t="s">
        <v>198</v>
      </c>
      <c r="J139" s="14" t="n">
        <v>6434.2</v>
      </c>
      <c r="K139" s="12" t="s">
        <v>199</v>
      </c>
      <c r="L139" s="12" t="s">
        <v>200</v>
      </c>
    </row>
    <row r="140" customFormat="false" ht="15" hidden="false" customHeight="false" outlineLevel="0" collapsed="false">
      <c r="C140" s="12" t="s">
        <v>194</v>
      </c>
      <c r="D140" s="12" t="s">
        <v>195</v>
      </c>
      <c r="E140" s="13" t="n">
        <v>2022</v>
      </c>
      <c r="F140" s="13" t="n">
        <v>12</v>
      </c>
      <c r="G140" s="12" t="s">
        <v>196</v>
      </c>
      <c r="H140" s="12" t="s">
        <v>197</v>
      </c>
      <c r="I140" s="12" t="s">
        <v>198</v>
      </c>
      <c r="J140" s="14" t="n">
        <v>6474.09</v>
      </c>
      <c r="K140" s="12" t="s">
        <v>199</v>
      </c>
      <c r="L140" s="12" t="s">
        <v>200</v>
      </c>
    </row>
    <row r="141" customFormat="false" ht="15" hidden="false" customHeight="false" outlineLevel="0" collapsed="false">
      <c r="C141" s="12" t="s">
        <v>194</v>
      </c>
      <c r="D141" s="12" t="s">
        <v>195</v>
      </c>
      <c r="E141" s="13" t="n">
        <v>2023</v>
      </c>
      <c r="F141" s="13" t="n">
        <v>1</v>
      </c>
      <c r="G141" s="12" t="s">
        <v>196</v>
      </c>
      <c r="H141" s="12" t="s">
        <v>197</v>
      </c>
      <c r="I141" s="12" t="s">
        <v>198</v>
      </c>
      <c r="J141" s="14" t="n">
        <v>6508.4</v>
      </c>
      <c r="K141" s="12" t="s">
        <v>199</v>
      </c>
      <c r="L141" s="12" t="s">
        <v>200</v>
      </c>
    </row>
    <row r="142" customFormat="false" ht="15" hidden="false" customHeight="false" outlineLevel="0" collapsed="false">
      <c r="C142" s="12" t="s">
        <v>194</v>
      </c>
      <c r="D142" s="12" t="s">
        <v>195</v>
      </c>
      <c r="E142" s="13" t="n">
        <v>2023</v>
      </c>
      <c r="F142" s="13" t="n">
        <v>2</v>
      </c>
      <c r="G142" s="12" t="s">
        <v>196</v>
      </c>
      <c r="H142" s="12" t="s">
        <v>197</v>
      </c>
      <c r="I142" s="12" t="s">
        <v>198</v>
      </c>
      <c r="J142" s="14" t="n">
        <v>6563.07</v>
      </c>
      <c r="K142" s="12" t="s">
        <v>199</v>
      </c>
      <c r="L142" s="12" t="s">
        <v>200</v>
      </c>
    </row>
    <row r="143" customFormat="false" ht="15" hidden="false" customHeight="false" outlineLevel="0" collapsed="false">
      <c r="C143" s="12" t="s">
        <v>194</v>
      </c>
      <c r="D143" s="12" t="s">
        <v>195</v>
      </c>
      <c r="E143" s="13" t="n">
        <v>2023</v>
      </c>
      <c r="F143" s="13" t="n">
        <v>3</v>
      </c>
      <c r="G143" s="12" t="s">
        <v>196</v>
      </c>
      <c r="H143" s="12" t="s">
        <v>197</v>
      </c>
      <c r="I143" s="12" t="s">
        <v>198</v>
      </c>
      <c r="J143" s="14" t="n">
        <v>6609.67</v>
      </c>
      <c r="K143" s="12" t="s">
        <v>199</v>
      </c>
      <c r="L143" s="12" t="s">
        <v>200</v>
      </c>
    </row>
    <row r="144" customFormat="false" ht="15" hidden="false" customHeight="false" outlineLevel="0" collapsed="false">
      <c r="C144" s="12" t="s">
        <v>194</v>
      </c>
      <c r="D144" s="12" t="s">
        <v>195</v>
      </c>
      <c r="E144" s="13" t="n">
        <v>2023</v>
      </c>
      <c r="F144" s="13" t="n">
        <v>4</v>
      </c>
      <c r="G144" s="12" t="s">
        <v>196</v>
      </c>
      <c r="H144" s="12" t="s">
        <v>197</v>
      </c>
      <c r="I144" s="12" t="s">
        <v>198</v>
      </c>
      <c r="J144" s="14" t="n">
        <v>6649.99</v>
      </c>
      <c r="K144" s="12" t="s">
        <v>199</v>
      </c>
      <c r="L144" s="12" t="s">
        <v>200</v>
      </c>
    </row>
    <row r="145" customFormat="false" ht="15" hidden="false" customHeight="false" outlineLevel="0" collapsed="false">
      <c r="C145" s="12" t="s">
        <v>194</v>
      </c>
      <c r="D145" s="12" t="s">
        <v>195</v>
      </c>
      <c r="E145" s="13" t="n">
        <v>2023</v>
      </c>
      <c r="F145" s="13" t="n">
        <v>5</v>
      </c>
      <c r="G145" s="12" t="s">
        <v>196</v>
      </c>
      <c r="H145" s="12" t="s">
        <v>197</v>
      </c>
      <c r="I145" s="12" t="s">
        <v>198</v>
      </c>
      <c r="J145" s="14" t="n">
        <v>6665.28</v>
      </c>
      <c r="K145" s="12" t="s">
        <v>199</v>
      </c>
      <c r="L145" s="12" t="s">
        <v>200</v>
      </c>
    </row>
    <row r="146" customFormat="false" ht="15" hidden="false" customHeight="false" outlineLevel="0" collapsed="false">
      <c r="C146" s="12" t="s">
        <v>194</v>
      </c>
      <c r="D146" s="12" t="s">
        <v>195</v>
      </c>
      <c r="E146" s="13" t="n">
        <v>2023</v>
      </c>
      <c r="F146" s="13" t="n">
        <v>6</v>
      </c>
      <c r="G146" s="12" t="s">
        <v>196</v>
      </c>
      <c r="H146" s="12" t="s">
        <v>197</v>
      </c>
      <c r="I146" s="12" t="s">
        <v>198</v>
      </c>
      <c r="J146" s="14" t="n">
        <v>6659.95</v>
      </c>
      <c r="K146" s="12" t="s">
        <v>199</v>
      </c>
      <c r="L146" s="12" t="s">
        <v>200</v>
      </c>
    </row>
    <row r="147" customFormat="false" ht="15" hidden="false" customHeight="false" outlineLevel="0" collapsed="false">
      <c r="C147" s="12" t="s">
        <v>194</v>
      </c>
      <c r="D147" s="12" t="s">
        <v>195</v>
      </c>
      <c r="E147" s="13" t="n">
        <v>2023</v>
      </c>
      <c r="F147" s="13" t="n">
        <v>7</v>
      </c>
      <c r="G147" s="12" t="s">
        <v>196</v>
      </c>
      <c r="H147" s="12" t="s">
        <v>197</v>
      </c>
      <c r="I147" s="12" t="s">
        <v>198</v>
      </c>
      <c r="J147" s="14" t="n">
        <v>6667.94</v>
      </c>
      <c r="K147" s="12" t="s">
        <v>199</v>
      </c>
      <c r="L147" s="12" t="s">
        <v>200</v>
      </c>
    </row>
    <row r="148" customFormat="false" ht="15" hidden="false" customHeight="false" outlineLevel="0" collapsed="false">
      <c r="C148" s="12" t="s">
        <v>194</v>
      </c>
      <c r="D148" s="12" t="s">
        <v>195</v>
      </c>
      <c r="E148" s="13" t="n">
        <v>2023</v>
      </c>
      <c r="F148" s="13" t="n">
        <v>8</v>
      </c>
      <c r="G148" s="12" t="s">
        <v>196</v>
      </c>
      <c r="H148" s="12" t="s">
        <v>197</v>
      </c>
      <c r="I148" s="12" t="s">
        <v>198</v>
      </c>
      <c r="J148" s="14" t="n">
        <v>6683.28</v>
      </c>
      <c r="K148" s="12" t="s">
        <v>199</v>
      </c>
      <c r="L148" s="12" t="s">
        <v>200</v>
      </c>
    </row>
    <row r="149" customFormat="false" ht="15" hidden="false" customHeight="false" outlineLevel="0" collapsed="false">
      <c r="C149" s="12" t="s">
        <v>194</v>
      </c>
      <c r="D149" s="12" t="s">
        <v>195</v>
      </c>
      <c r="E149" s="13" t="n">
        <v>2023</v>
      </c>
      <c r="F149" s="13" t="n">
        <v>9</v>
      </c>
      <c r="G149" s="12" t="s">
        <v>196</v>
      </c>
      <c r="H149" s="12" t="s">
        <v>197</v>
      </c>
      <c r="I149" s="12" t="s">
        <v>198</v>
      </c>
      <c r="J149" s="14" t="n">
        <v>6700.66</v>
      </c>
      <c r="K149" s="12" t="s">
        <v>199</v>
      </c>
      <c r="L149" s="12" t="s">
        <v>200</v>
      </c>
    </row>
    <row r="150" customFormat="false" ht="15" hidden="false" customHeight="false" outlineLevel="0" collapsed="false">
      <c r="C150" s="12" t="s">
        <v>194</v>
      </c>
      <c r="D150" s="12" t="s">
        <v>195</v>
      </c>
      <c r="E150" s="13" t="n">
        <v>2023</v>
      </c>
      <c r="F150" s="13" t="n">
        <v>10</v>
      </c>
      <c r="G150" s="12" t="s">
        <v>196</v>
      </c>
      <c r="H150" s="12" t="s">
        <v>197</v>
      </c>
      <c r="I150" s="12" t="s">
        <v>198</v>
      </c>
      <c r="J150" s="14" t="n">
        <v>6716.74</v>
      </c>
      <c r="K150" s="12" t="s">
        <v>199</v>
      </c>
      <c r="L150" s="12" t="s">
        <v>200</v>
      </c>
    </row>
    <row r="151" customFormat="false" ht="15" hidden="false" customHeight="false" outlineLevel="0" collapsed="false">
      <c r="C151" s="12" t="s">
        <v>194</v>
      </c>
      <c r="D151" s="12" t="s">
        <v>195</v>
      </c>
      <c r="E151" s="13" t="n">
        <v>2023</v>
      </c>
      <c r="F151" s="13" t="n">
        <v>11</v>
      </c>
      <c r="G151" s="12" t="s">
        <v>196</v>
      </c>
      <c r="H151" s="12" t="s">
        <v>197</v>
      </c>
      <c r="I151" s="12" t="s">
        <v>198</v>
      </c>
      <c r="J151" s="14" t="n">
        <v>6735.55</v>
      </c>
      <c r="K151" s="12" t="s">
        <v>199</v>
      </c>
      <c r="L151" s="12" t="s">
        <v>200</v>
      </c>
    </row>
    <row r="152" customFormat="false" ht="15" hidden="false" customHeight="false" outlineLevel="0" collapsed="false">
      <c r="C152" s="12" t="s">
        <v>194</v>
      </c>
      <c r="D152" s="12" t="s">
        <v>195</v>
      </c>
      <c r="E152" s="13" t="n">
        <v>2023</v>
      </c>
      <c r="F152" s="13" t="n">
        <v>12</v>
      </c>
      <c r="G152" s="12" t="s">
        <v>196</v>
      </c>
      <c r="H152" s="12" t="s">
        <v>197</v>
      </c>
      <c r="I152" s="12" t="s">
        <v>198</v>
      </c>
      <c r="J152" s="14" t="n">
        <v>6773.27</v>
      </c>
      <c r="K152" s="12" t="s">
        <v>199</v>
      </c>
      <c r="L152" s="12" t="s">
        <v>200</v>
      </c>
    </row>
    <row r="153" customFormat="false" ht="15" hidden="false" customHeight="false" outlineLevel="0" collapsed="false">
      <c r="C153" s="12" t="s">
        <v>194</v>
      </c>
      <c r="D153" s="12" t="s">
        <v>195</v>
      </c>
      <c r="E153" s="13" t="n">
        <v>2024</v>
      </c>
      <c r="F153" s="13" t="n">
        <v>1</v>
      </c>
      <c r="G153" s="12" t="s">
        <v>196</v>
      </c>
      <c r="H153" s="12" t="s">
        <v>197</v>
      </c>
      <c r="I153" s="12" t="s">
        <v>198</v>
      </c>
      <c r="J153" s="14" t="n">
        <v>6801.72</v>
      </c>
      <c r="K153" s="12" t="s">
        <v>199</v>
      </c>
      <c r="L153" s="12" t="s">
        <v>200</v>
      </c>
    </row>
    <row r="154" customFormat="false" ht="15" hidden="false" customHeight="false" outlineLevel="0" collapsed="false">
      <c r="C154" s="12" t="s">
        <v>194</v>
      </c>
      <c r="D154" s="12" t="s">
        <v>195</v>
      </c>
      <c r="E154" s="13" t="n">
        <v>2024</v>
      </c>
      <c r="F154" s="13" t="n">
        <v>2</v>
      </c>
      <c r="G154" s="12" t="s">
        <v>196</v>
      </c>
      <c r="H154" s="12" t="s">
        <v>197</v>
      </c>
      <c r="I154" s="12" t="s">
        <v>198</v>
      </c>
      <c r="J154" s="14" t="n">
        <v>6858.17</v>
      </c>
      <c r="K154" s="12" t="s">
        <v>199</v>
      </c>
      <c r="L154" s="12" t="s">
        <v>200</v>
      </c>
    </row>
    <row r="155" customFormat="false" ht="15" hidden="false" customHeight="false" outlineLevel="0" collapsed="false">
      <c r="C155" s="12" t="s">
        <v>194</v>
      </c>
      <c r="D155" s="12" t="s">
        <v>195</v>
      </c>
      <c r="E155" s="13" t="n">
        <v>2024</v>
      </c>
      <c r="F155" s="13" t="n">
        <v>3</v>
      </c>
      <c r="G155" s="12" t="s">
        <v>196</v>
      </c>
      <c r="H155" s="12" t="s">
        <v>197</v>
      </c>
      <c r="I155" s="12" t="s">
        <v>198</v>
      </c>
      <c r="J155" s="14" t="n">
        <v>6869.14</v>
      </c>
      <c r="K155" s="12" t="s">
        <v>199</v>
      </c>
      <c r="L155" s="12" t="s">
        <v>200</v>
      </c>
    </row>
    <row r="156" customFormat="false" ht="15" hidden="false" customHeight="false" outlineLevel="0" collapsed="false">
      <c r="C156" s="12" t="s">
        <v>194</v>
      </c>
      <c r="D156" s="12" t="s">
        <v>195</v>
      </c>
      <c r="E156" s="13" t="n">
        <v>2024</v>
      </c>
      <c r="F156" s="13" t="n">
        <v>4</v>
      </c>
      <c r="G156" s="12" t="s">
        <v>196</v>
      </c>
      <c r="H156" s="12" t="s">
        <v>197</v>
      </c>
      <c r="I156" s="12" t="s">
        <v>198</v>
      </c>
      <c r="J156" s="14" t="n">
        <v>6895.24</v>
      </c>
      <c r="K156" s="12" t="s">
        <v>199</v>
      </c>
      <c r="L156" s="12" t="s">
        <v>200</v>
      </c>
    </row>
    <row r="157" customFormat="false" ht="15" hidden="false" customHeight="false" outlineLevel="0" collapsed="false">
      <c r="C157" s="12" t="s">
        <v>194</v>
      </c>
      <c r="D157" s="12" t="s">
        <v>195</v>
      </c>
      <c r="E157" s="13" t="n">
        <v>2024</v>
      </c>
      <c r="F157" s="13" t="n">
        <v>5</v>
      </c>
      <c r="G157" s="12" t="s">
        <v>196</v>
      </c>
      <c r="H157" s="12" t="s">
        <v>197</v>
      </c>
      <c r="I157" s="12" t="s">
        <v>198</v>
      </c>
      <c r="J157" s="14" t="n">
        <v>6926.96</v>
      </c>
      <c r="K157" s="12" t="s">
        <v>199</v>
      </c>
      <c r="L157" s="12" t="s">
        <v>200</v>
      </c>
    </row>
    <row r="158" customFormat="false" ht="15" hidden="false" customHeight="false" outlineLevel="0" collapsed="false">
      <c r="C158" s="12" t="s">
        <v>194</v>
      </c>
      <c r="D158" s="12" t="s">
        <v>195</v>
      </c>
      <c r="E158" s="13" t="n">
        <v>2024</v>
      </c>
      <c r="F158" s="13" t="n">
        <v>6</v>
      </c>
      <c r="G158" s="12" t="s">
        <v>196</v>
      </c>
      <c r="H158" s="12" t="s">
        <v>197</v>
      </c>
      <c r="I158" s="12" t="s">
        <v>198</v>
      </c>
      <c r="J158" s="14" t="n">
        <v>6941.51</v>
      </c>
      <c r="K158" s="12" t="s">
        <v>199</v>
      </c>
      <c r="L158" s="12" t="s">
        <v>200</v>
      </c>
    </row>
    <row r="159" customFormat="false" ht="15" hidden="false" customHeight="false" outlineLevel="0" collapsed="false">
      <c r="C159" s="12" t="s">
        <v>194</v>
      </c>
      <c r="D159" s="12" t="s">
        <v>195</v>
      </c>
      <c r="E159" s="13" t="n">
        <v>2024</v>
      </c>
      <c r="F159" s="13" t="n">
        <v>7</v>
      </c>
      <c r="G159" s="12" t="s">
        <v>196</v>
      </c>
      <c r="H159" s="12" t="s">
        <v>197</v>
      </c>
      <c r="I159" s="12" t="s">
        <v>198</v>
      </c>
      <c r="J159" s="14" t="n">
        <v>6967.89</v>
      </c>
      <c r="K159" s="12" t="s">
        <v>199</v>
      </c>
      <c r="L159" s="12" t="s">
        <v>200</v>
      </c>
    </row>
    <row r="160" customFormat="false" ht="15" hidden="false" customHeight="false" outlineLevel="0" collapsed="false">
      <c r="C160" s="12" t="s">
        <v>194</v>
      </c>
      <c r="D160" s="12" t="s">
        <v>195</v>
      </c>
      <c r="E160" s="13" t="n">
        <v>2024</v>
      </c>
      <c r="F160" s="13" t="n">
        <v>8</v>
      </c>
      <c r="G160" s="12" t="s">
        <v>196</v>
      </c>
      <c r="H160" s="12" t="s">
        <v>197</v>
      </c>
      <c r="I160" s="12" t="s">
        <v>198</v>
      </c>
      <c r="J160" s="14" t="n">
        <v>6966.5</v>
      </c>
      <c r="K160" s="12" t="s">
        <v>199</v>
      </c>
      <c r="L160" s="12" t="s">
        <v>200</v>
      </c>
    </row>
    <row r="161" customFormat="false" ht="15" hidden="false" customHeight="false" outlineLevel="0" collapsed="false">
      <c r="C161" s="12" t="s">
        <v>194</v>
      </c>
      <c r="D161" s="12" t="s">
        <v>195</v>
      </c>
      <c r="E161" s="13" t="n">
        <v>2024</v>
      </c>
      <c r="F161" s="13" t="n">
        <v>9</v>
      </c>
      <c r="G161" s="12" t="s">
        <v>196</v>
      </c>
      <c r="H161" s="12" t="s">
        <v>197</v>
      </c>
      <c r="I161" s="12" t="s">
        <v>198</v>
      </c>
      <c r="J161" s="14" t="n">
        <v>6997.15</v>
      </c>
      <c r="K161" s="12" t="s">
        <v>199</v>
      </c>
      <c r="L161" s="12" t="s">
        <v>200</v>
      </c>
    </row>
    <row r="162" customFormat="false" ht="15" hidden="false" customHeight="false" outlineLevel="0" collapsed="false">
      <c r="C162" s="12" t="s">
        <v>194</v>
      </c>
      <c r="D162" s="12" t="s">
        <v>195</v>
      </c>
      <c r="E162" s="13" t="n">
        <v>2024</v>
      </c>
      <c r="F162" s="13" t="n">
        <v>10</v>
      </c>
      <c r="G162" s="12" t="s">
        <v>196</v>
      </c>
      <c r="H162" s="12" t="s">
        <v>197</v>
      </c>
      <c r="I162" s="12" t="s">
        <v>198</v>
      </c>
      <c r="J162" s="14" t="n">
        <v>7036.33</v>
      </c>
      <c r="K162" s="12" t="s">
        <v>199</v>
      </c>
      <c r="L162" s="12" t="s">
        <v>200</v>
      </c>
    </row>
    <row r="163" customFormat="false" ht="15" hidden="false" customHeight="false" outlineLevel="0" collapsed="false">
      <c r="C163" s="12" t="s">
        <v>194</v>
      </c>
      <c r="D163" s="12" t="s">
        <v>195</v>
      </c>
      <c r="E163" s="13" t="n">
        <v>2024</v>
      </c>
      <c r="F163" s="13" t="n">
        <v>11</v>
      </c>
      <c r="G163" s="12" t="s">
        <v>196</v>
      </c>
      <c r="H163" s="12" t="s">
        <v>197</v>
      </c>
      <c r="I163" s="12" t="s">
        <v>198</v>
      </c>
      <c r="J163" s="14" t="n">
        <v>7063.77</v>
      </c>
      <c r="K163" s="12" t="s">
        <v>199</v>
      </c>
      <c r="L163" s="12" t="s">
        <v>200</v>
      </c>
    </row>
    <row r="164" customFormat="false" ht="15" hidden="false" customHeight="false" outlineLevel="0" collapsed="false">
      <c r="C164" s="12" t="s">
        <v>194</v>
      </c>
      <c r="D164" s="12" t="s">
        <v>195</v>
      </c>
      <c r="E164" s="13" t="n">
        <v>2024</v>
      </c>
      <c r="F164" s="13" t="n">
        <v>12</v>
      </c>
      <c r="G164" s="12" t="s">
        <v>196</v>
      </c>
      <c r="H164" s="12" t="s">
        <v>197</v>
      </c>
      <c r="I164" s="12" t="s">
        <v>198</v>
      </c>
      <c r="J164" s="14" t="n">
        <v>7100.5</v>
      </c>
      <c r="K164" s="12" t="s">
        <v>199</v>
      </c>
      <c r="L164" s="12" t="s">
        <v>200</v>
      </c>
    </row>
  </sheetData>
  <autoFilter ref="C8:L164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F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21"/>
  </cols>
  <sheetData>
    <row r="3" customFormat="false" ht="19.7" hidden="false" customHeight="false" outlineLevel="0" collapsed="false">
      <c r="C3" s="1" t="s">
        <v>201</v>
      </c>
      <c r="D3" s="2"/>
      <c r="E3" s="2"/>
      <c r="F3" s="2"/>
    </row>
    <row r="5" customFormat="false" ht="15" hidden="false" customHeight="false" outlineLevel="0" collapsed="false">
      <c r="C5" s="3" t="s">
        <v>202</v>
      </c>
    </row>
    <row r="6" customFormat="false" ht="15" hidden="false" customHeight="false" outlineLevel="0" collapsed="false">
      <c r="C6" s="4" t="s">
        <v>203</v>
      </c>
    </row>
    <row r="8" customFormat="false" ht="33.75" hidden="false" customHeight="true" outlineLevel="0" collapsed="false">
      <c r="C8" s="5" t="s">
        <v>37</v>
      </c>
      <c r="D8" s="5" t="s">
        <v>204</v>
      </c>
      <c r="E8" s="5" t="s">
        <v>205</v>
      </c>
      <c r="F8" s="5" t="s">
        <v>206</v>
      </c>
    </row>
    <row r="9" customFormat="false" ht="15" hidden="false" customHeight="false" outlineLevel="0" collapsed="false">
      <c r="C9" s="16" t="n">
        <v>2015</v>
      </c>
      <c r="D9" s="17" t="n">
        <v>-2.5</v>
      </c>
      <c r="E9" s="17" t="n">
        <v>105.7</v>
      </c>
      <c r="F9" s="12" t="s">
        <v>207</v>
      </c>
    </row>
    <row r="10" customFormat="false" ht="15" hidden="false" customHeight="false" outlineLevel="0" collapsed="false">
      <c r="C10" s="16" t="n">
        <v>2016</v>
      </c>
      <c r="D10" s="17" t="n">
        <v>-2.4</v>
      </c>
      <c r="E10" s="17" t="n">
        <v>105.8</v>
      </c>
      <c r="F10" s="12" t="s">
        <v>207</v>
      </c>
    </row>
    <row r="11" customFormat="false" ht="15" hidden="false" customHeight="false" outlineLevel="0" collapsed="false">
      <c r="C11" s="16" t="n">
        <v>2017</v>
      </c>
      <c r="D11" s="17" t="n">
        <v>-0.8</v>
      </c>
      <c r="E11" s="17" t="n">
        <v>102.6</v>
      </c>
      <c r="F11" s="12" t="s">
        <v>207</v>
      </c>
    </row>
    <row r="12" customFormat="false" ht="15" hidden="false" customHeight="false" outlineLevel="0" collapsed="false">
      <c r="C12" s="16" t="n">
        <v>2018</v>
      </c>
      <c r="D12" s="17" t="n">
        <v>-1</v>
      </c>
      <c r="E12" s="17" t="n">
        <v>100.2</v>
      </c>
      <c r="F12" s="12" t="s">
        <v>207</v>
      </c>
    </row>
    <row r="13" customFormat="false" ht="15" hidden="false" customHeight="false" outlineLevel="0" collapsed="false">
      <c r="C13" s="16" t="n">
        <v>2019</v>
      </c>
      <c r="D13" s="17" t="n">
        <v>-2</v>
      </c>
      <c r="E13" s="17" t="n">
        <v>97.7</v>
      </c>
      <c r="F13" s="12" t="s">
        <v>207</v>
      </c>
    </row>
    <row r="14" customFormat="false" ht="15" hidden="false" customHeight="false" outlineLevel="0" collapsed="false">
      <c r="C14" s="16" t="n">
        <v>2020</v>
      </c>
      <c r="D14" s="17" t="n">
        <v>-9</v>
      </c>
      <c r="E14" s="17" t="n">
        <v>111.4</v>
      </c>
      <c r="F14" s="12" t="s">
        <v>207</v>
      </c>
    </row>
    <row r="15" customFormat="false" ht="15" hidden="false" customHeight="false" outlineLevel="0" collapsed="false">
      <c r="C15" s="16" t="n">
        <v>2021</v>
      </c>
      <c r="D15" s="17" t="n">
        <v>-5.4</v>
      </c>
      <c r="E15" s="17" t="n">
        <v>108.7</v>
      </c>
      <c r="F15" s="12" t="s">
        <v>207</v>
      </c>
    </row>
    <row r="16" customFormat="false" ht="15" hidden="false" customHeight="false" outlineLevel="0" collapsed="false">
      <c r="C16" s="16" t="n">
        <v>2022</v>
      </c>
      <c r="D16" s="17" t="n">
        <v>-3.5</v>
      </c>
      <c r="E16" s="17" t="n">
        <v>103.3</v>
      </c>
      <c r="F16" s="12" t="s">
        <v>207</v>
      </c>
    </row>
    <row r="17" customFormat="false" ht="15" hidden="false" customHeight="false" outlineLevel="0" collapsed="false">
      <c r="C17" s="16" t="n">
        <v>2023</v>
      </c>
      <c r="D17" s="17" t="n">
        <v>-4.1</v>
      </c>
      <c r="E17" s="17" t="n">
        <v>102.3</v>
      </c>
      <c r="F17" s="12" t="s">
        <v>207</v>
      </c>
    </row>
    <row r="18" customFormat="false" ht="15" hidden="false" customHeight="false" outlineLevel="0" collapsed="false">
      <c r="C18" s="16" t="n">
        <v>2024</v>
      </c>
      <c r="D18" s="17" t="n">
        <v>-4.4</v>
      </c>
      <c r="E18" s="17" t="n">
        <v>104</v>
      </c>
      <c r="F18" s="12" t="s">
        <v>207</v>
      </c>
    </row>
    <row r="19" customFormat="false" ht="15" hidden="false" customHeight="false" outlineLevel="0" collapsed="false">
      <c r="C19" s="16" t="n">
        <v>2025</v>
      </c>
      <c r="D19" s="17" t="n">
        <v>-5.2</v>
      </c>
      <c r="E19" s="17" t="n">
        <v>108.1</v>
      </c>
      <c r="F19" s="12" t="s">
        <v>207</v>
      </c>
    </row>
  </sheetData>
  <autoFilter ref="C8:F19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AD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12" min="5" style="0" width="48"/>
    <col collapsed="false" customWidth="true" hidden="false" outlineLevel="0" max="13" min="13" style="0" width="35"/>
    <col collapsed="false" customWidth="true" hidden="false" outlineLevel="0" max="20" min="14" style="0" width="48"/>
    <col collapsed="false" customWidth="true" hidden="false" outlineLevel="0" max="22" min="21" style="0" width="35"/>
    <col collapsed="false" customWidth="true" hidden="false" outlineLevel="0" max="25" min="23" style="0" width="41"/>
    <col collapsed="false" customWidth="true" hidden="false" outlineLevel="0" max="26" min="26" style="0" width="42"/>
    <col collapsed="false" customWidth="true" hidden="false" outlineLevel="0" max="28" min="27" style="0" width="41"/>
    <col collapsed="false" customWidth="true" hidden="false" outlineLevel="0" max="30" min="29" style="0" width="48"/>
  </cols>
  <sheetData>
    <row r="3" customFormat="false" ht="19.7" hidden="false" customHeight="false" outlineLevel="0" collapsed="false">
      <c r="C3" s="1" t="s">
        <v>208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5" customFormat="false" ht="15" hidden="false" customHeight="false" outlineLevel="0" collapsed="false">
      <c r="C5" s="3" t="s">
        <v>209</v>
      </c>
    </row>
    <row r="6" customFormat="false" ht="15" hidden="false" customHeight="false" outlineLevel="0" collapsed="false">
      <c r="C6" s="4" t="s">
        <v>210</v>
      </c>
    </row>
    <row r="8" customFormat="false" ht="33.75" hidden="false" customHeight="true" outlineLevel="0" collapsed="false">
      <c r="C8" s="5" t="s">
        <v>35</v>
      </c>
      <c r="D8" s="5" t="s">
        <v>37</v>
      </c>
      <c r="E8" s="5" t="s">
        <v>211</v>
      </c>
      <c r="F8" s="5" t="s">
        <v>212</v>
      </c>
      <c r="G8" s="5" t="s">
        <v>213</v>
      </c>
      <c r="H8" s="5" t="s">
        <v>214</v>
      </c>
      <c r="I8" s="5" t="s">
        <v>215</v>
      </c>
      <c r="J8" s="5" t="s">
        <v>216</v>
      </c>
      <c r="K8" s="5" t="s">
        <v>217</v>
      </c>
      <c r="L8" s="5" t="s">
        <v>218</v>
      </c>
      <c r="M8" s="5" t="s">
        <v>219</v>
      </c>
      <c r="N8" s="5" t="s">
        <v>220</v>
      </c>
      <c r="O8" s="5" t="s">
        <v>221</v>
      </c>
      <c r="P8" s="5" t="s">
        <v>222</v>
      </c>
      <c r="Q8" s="5" t="s">
        <v>223</v>
      </c>
      <c r="R8" s="5" t="s">
        <v>224</v>
      </c>
      <c r="S8" s="5" t="s">
        <v>225</v>
      </c>
      <c r="T8" s="5" t="s">
        <v>226</v>
      </c>
      <c r="U8" s="5" t="s">
        <v>227</v>
      </c>
      <c r="V8" s="5" t="s">
        <v>228</v>
      </c>
      <c r="W8" s="5" t="s">
        <v>229</v>
      </c>
      <c r="X8" s="5" t="s">
        <v>230</v>
      </c>
      <c r="Y8" s="5" t="s">
        <v>231</v>
      </c>
      <c r="Z8" s="5" t="s">
        <v>232</v>
      </c>
      <c r="AA8" s="5" t="s">
        <v>233</v>
      </c>
      <c r="AB8" s="5" t="s">
        <v>234</v>
      </c>
      <c r="AC8" s="5" t="s">
        <v>235</v>
      </c>
      <c r="AD8" s="5" t="s">
        <v>236</v>
      </c>
    </row>
    <row r="9" customFormat="false" ht="15" hidden="false" customHeight="false" outlineLevel="0" collapsed="false">
      <c r="C9" s="12" t="s">
        <v>5</v>
      </c>
      <c r="D9" s="13" t="n">
        <v>2015</v>
      </c>
      <c r="E9" s="6" t="n">
        <f aca="false">IF(COUNTIFS('Dados DCA'!$C$9:$C$564,$C9,'Dados DCA'!$E$9:$E$564,$D9,'Dados DCA'!$F$9:$F$564,"receita_total_bruta")=0,"",SUMIFS('Dados DCA'!$L$9:$L$564,'Dados DCA'!$C$9:$C$564,$C9,'Dados DCA'!$E$9:$E$564,$D9,'Dados DCA'!$F$9:$F$564,"receita_total_bruta"))</f>
        <v>130267501.81</v>
      </c>
      <c r="F9" s="6" t="n">
        <f aca="false">IF(COUNTIFS('Dados DCA'!$C$9:$C$564,$C9,'Dados DCA'!$E$9:$E$564,$D9,'Dados DCA'!$F$9:$F$564,"deducao_fundeb")=0,"",ABS(SUMIFS('Dados DCA'!$L$9:$L$564,'Dados DCA'!$C$9:$C$564,$C9,'Dados DCA'!$E$9:$E$564,$D9,'Dados DCA'!$F$9:$F$564,"deducao_fundeb")))</f>
        <v>10228661.03</v>
      </c>
      <c r="G9" s="6" t="str">
        <f aca="false">IF(COUNTIFS('Dados DCA'!$C$9:$C$564,$C9,'Dados DCA'!$E$9:$E$564,$D9,'Dados DCA'!$F$9:$F$564,"outras_deducoes")=0,"",ABS(SUMIFS('Dados DCA'!$L$9:$L$564,'Dados DCA'!$C$9:$C$564,$C9,'Dados DCA'!$E$9:$E$564,$D9,'Dados DCA'!$F$9:$F$564,"outras_deducoes")))</f>
        <v/>
      </c>
      <c r="H9" s="18" t="n">
        <f aca="false">IF(OR(E9="",F9=""),"",E9-F9-IF(G9="",0,G9))</f>
        <v>120038840.78</v>
      </c>
      <c r="I9" s="6" t="n">
        <f aca="false">IF(COUNTIFS('Dados DCA'!$C$9:$C$564,$C9,'Dados DCA'!$E$9:$E$564,$D9,'Dados DCA'!$F$9:$F$564,"despesa_empenhada_total")=0,"",SUMIFS('Dados DCA'!$L$9:$L$564,'Dados DCA'!$C$9:$C$564,$C9,'Dados DCA'!$E$9:$E$564,$D9,'Dados DCA'!$F$9:$F$564,"despesa_empenhada_total"))</f>
        <v>125981279.25</v>
      </c>
      <c r="J9" s="6" t="n">
        <f aca="false">IF(COUNTIFS('Dados DCA'!$C$9:$C$564,$C9,'Dados DCA'!$E$9:$E$564,$D9,'Dados DCA'!$F$9:$F$564,"despesa_liquidada_total")=0,"",SUMIFS('Dados DCA'!$L$9:$L$564,'Dados DCA'!$C$9:$C$564,$C9,'Dados DCA'!$E$9:$E$564,$D9,'Dados DCA'!$F$9:$F$564,"despesa_liquidada_total"))</f>
        <v>125981279.25</v>
      </c>
      <c r="K9" s="6" t="n">
        <f aca="false">IF(COUNTIFS('Dados DCA'!$C$9:$C$564,$C9,'Dados DCA'!$E$9:$E$564,$D9,'Dados DCA'!$F$9:$F$564,"despesa_paga_total")=0,"",SUMIFS('Dados DCA'!$L$9:$L$564,'Dados DCA'!$C$9:$C$564,$C9,'Dados DCA'!$E$9:$E$564,$D9,'Dados DCA'!$F$9:$F$564,"despesa_paga_total"))</f>
        <v>120285435.77</v>
      </c>
      <c r="L9" s="6" t="str">
        <f aca="false">IF(COUNTIFS('Dados DCA'!$C$9:$C$564,$C9,'Dados DCA'!$E$9:$E$564,$D9,'Dados DCA'!$F$9:$F$564,"despesa_empenhada_exceto_intra")=0,"",SUMIFS('Dados DCA'!$L$9:$L$564,'Dados DCA'!$C$9:$C$564,$C9,'Dados DCA'!$E$9:$E$564,$D9,'Dados DCA'!$F$9:$F$564,"despesa_empenhada_exceto_intra"))</f>
        <v/>
      </c>
      <c r="M9" s="18" t="str">
        <f aca="false">IF(OR(I9="",L9=""),"",I9-L9)</f>
        <v/>
      </c>
      <c r="N9" s="6" t="n">
        <f aca="false">IF(COUNTIFS('Dados DCA'!$C$9:$C$564,$C9,'Dados DCA'!$E$9:$E$564,$D9,'Dados DCA'!$F$9:$F$564,"receita_tributaria_propria_bruta")=0,"",SUMIFS('Dados DCA'!$L$9:$L$564,'Dados DCA'!$C$9:$C$564,$C9,'Dados DCA'!$E$9:$E$564,$D9,'Dados DCA'!$F$9:$F$564,"receita_tributaria_propria_bruta"))</f>
        <v>11525465.63</v>
      </c>
      <c r="O9" s="6" t="n">
        <f aca="false">IF(COUNTIFS('Dados DCA'!$C$9:$C$564,$C9,'Dados DCA'!$E$9:$E$564,$D9,'Dados DCA'!$F$9:$F$564,"transferencias_correntes_total_brutas")=0,"",SUMIFS('Dados DCA'!$L$9:$L$564,'Dados DCA'!$C$9:$C$564,$C9,'Dados DCA'!$E$9:$E$564,$D9,'Dados DCA'!$F$9:$F$564,"transferencias_correntes_total_brutas"))</f>
        <v>95184421.51</v>
      </c>
      <c r="P9" s="6" t="n">
        <f aca="false">IF(COUNTIFS('Dados DCA'!$C$9:$C$564,$C9,'Dados DCA'!$E$9:$E$564,$D9,'Dados DCA'!$F$9:$F$564,"transferencias_intergov_correntes_proxy")=0,"",SUMIFS('Dados DCA'!$L$9:$L$564,'Dados DCA'!$C$9:$C$564,$C9,'Dados DCA'!$E$9:$E$564,$D9,'Dados DCA'!$F$9:$F$564,"transferencias_intergov_correntes_proxy"))</f>
        <v>91796679.99</v>
      </c>
      <c r="Q9" s="19" t="n">
        <f aca="false">IF(COUNTIFS('Dados IBGE'!$C$9:$C$164,$C9,'Dados IBGE'!$E$9:$E$164,$D9,'Dados IBGE'!$G$9:$G$164,"pop_censo")&gt;0,SUMIFS('Dados IBGE'!$J$9:$J$164,'Dados IBGE'!$C$9:$C$164,$C9,'Dados IBGE'!$E$9:$E$164,$D9,'Dados IBGE'!$G$9:$G$164,"pop_censo"),IF(COUNTIFS('Dados IBGE'!$C$9:$C$164,$C9,'Dados IBGE'!$E$9:$E$164,$D9,'Dados IBGE'!$G$9:$G$164,"pop_estimada")=0,"",SUMIFS('Dados IBGE'!$J$9:$J$164,'Dados IBGE'!$C$9:$C$164,$C9,'Dados IBGE'!$E$9:$E$164,$D9,'Dados IBGE'!$G$9:$G$164,"pop_estimada")))</f>
        <v>72625</v>
      </c>
      <c r="R9" s="6" t="n">
        <f aca="false">IF(COUNTIFS('Dados IBGE'!$C$9:$C$164,$C9,'Dados IBGE'!$E$9:$E$164,$D9,'Dados IBGE'!$G$9:$G$164,"pib")=0,"",SUMIFS('Dados IBGE'!$J$9:$J$164,'Dados IBGE'!$C$9:$C$164,$C9,'Dados IBGE'!$E$9:$E$164,$D9,'Dados IBGE'!$G$9:$G$164,"pib")*1000)</f>
        <v>803846000</v>
      </c>
      <c r="S9" s="20" t="n">
        <f aca="false">IF(COUNTIFS('Dados IBGE'!$E$9:$E$164,$D9,'Dados IBGE'!$G$9:$G$164,"ipca")&lt;&gt;12,"",SUMIFS('Dados IBGE'!$J$9:$J$164,'Dados IBGE'!$E$9:$E$164,$D9,'Dados IBGE'!$G$9:$G$164,"ipca")/12)</f>
        <v>4310.11916666667</v>
      </c>
      <c r="T9" s="20" t="n">
        <f aca="false">IF(OR(S9="",S9=0),"",AVERAGEIFS('Dados IBGE'!$J$9:$J$164,'Dados IBGE'!$E$9:$E$164,2024,'Dados IBGE'!$G$9:$G$164,"ipca")/S9)</f>
        <v>1.61296545745158</v>
      </c>
      <c r="U9" s="18" t="n">
        <f aca="false">IF(OR(E9="",T9=""),"",E9*T9)</f>
        <v>210116980.648042</v>
      </c>
      <c r="V9" s="18" t="n">
        <f aca="false">IF(OR(I9="",T9=""),"",I9*T9)</f>
        <v>203203451.715812</v>
      </c>
      <c r="W9" s="18" t="n">
        <f aca="false">IF(OR(Q9="",Q9=0,U9=""),"",U9/Q9)</f>
        <v>2893.17701408663</v>
      </c>
      <c r="X9" s="18" t="n">
        <f aca="false">IF(OR(Q9="",Q9=0,V9=""),"",V9/Q9)</f>
        <v>2797.98212345352</v>
      </c>
      <c r="Y9" s="21" t="n">
        <f aca="false">IF(OR(E9="",E9=0,N9=""),"",N9/E9)</f>
        <v>0.0884753715996667</v>
      </c>
      <c r="Z9" s="21" t="n">
        <f aca="false">IF(OR(E9="",E9=0,O9=""),"",O9/E9)</f>
        <v>0.73068432408284</v>
      </c>
      <c r="AA9" s="21" t="n">
        <f aca="false">IF(OR(R9="",R9=0,E9=""),"",E9/R9)</f>
        <v>0.162055296424937</v>
      </c>
      <c r="AB9" s="21" t="n">
        <f aca="false">IF(OR(R9="",R9=0,I9=""),"",I9/R9)</f>
        <v>0.156723152506823</v>
      </c>
      <c r="AC9" s="6" t="str">
        <f aca="false">IF(COUNTIFS('Dados DCA'!$C$9:$C$564,$C9,'Dados DCA'!$E$9:$E$564,$D9,'Dados DCA'!$F$9:$F$564,"receita_exceto_intra_bruta")=0,"",SUMIFS('Dados DCA'!$L$9:$L$564,'Dados DCA'!$C$9:$C$564,$C9,'Dados DCA'!$E$9:$E$564,$D9,'Dados DCA'!$F$9:$F$564,"receita_exceto_intra_bruta"))</f>
        <v/>
      </c>
      <c r="AD9" s="6" t="str">
        <f aca="false">IF(COUNTIFS('Dados DCA'!$C$9:$C$564,$C9,'Dados DCA'!$E$9:$E$564,$D9,'Dados DCA'!$F$9:$F$564,"receita_intra_bruta")=0,"",SUMIFS('Dados DCA'!$L$9:$L$564,'Dados DCA'!$C$9:$C$564,$C9,'Dados DCA'!$E$9:$E$564,$D9,'Dados DCA'!$F$9:$F$564,"receita_intra_bruta"))</f>
        <v/>
      </c>
    </row>
    <row r="10" customFormat="false" ht="15" hidden="false" customHeight="false" outlineLevel="0" collapsed="false">
      <c r="C10" s="12" t="s">
        <v>5</v>
      </c>
      <c r="D10" s="13" t="n">
        <v>2016</v>
      </c>
      <c r="E10" s="6" t="n">
        <f aca="false">IF(COUNTIFS('Dados DCA'!$C$9:$C$564,$C10,'Dados DCA'!$E$9:$E$564,$D10,'Dados DCA'!$F$9:$F$564,"receita_total_bruta")=0,"",SUMIFS('Dados DCA'!$L$9:$L$564,'Dados DCA'!$C$9:$C$564,$C10,'Dados DCA'!$E$9:$E$564,$D10,'Dados DCA'!$F$9:$F$564,"receita_total_bruta"))</f>
        <v>146212322.94</v>
      </c>
      <c r="F10" s="6" t="n">
        <f aca="false">IF(COUNTIFS('Dados DCA'!$C$9:$C$564,$C10,'Dados DCA'!$E$9:$E$564,$D10,'Dados DCA'!$F$9:$F$564,"deducao_fundeb")=0,"",ABS(SUMIFS('Dados DCA'!$L$9:$L$564,'Dados DCA'!$C$9:$C$564,$C10,'Dados DCA'!$E$9:$E$564,$D10,'Dados DCA'!$F$9:$F$564,"deducao_fundeb")))</f>
        <v>11514533.37</v>
      </c>
      <c r="G10" s="6" t="str">
        <f aca="false">IF(COUNTIFS('Dados DCA'!$C$9:$C$564,$C10,'Dados DCA'!$E$9:$E$564,$D10,'Dados DCA'!$F$9:$F$564,"outras_deducoes")=0,"",ABS(SUMIFS('Dados DCA'!$L$9:$L$564,'Dados DCA'!$C$9:$C$564,$C10,'Dados DCA'!$E$9:$E$564,$D10,'Dados DCA'!$F$9:$F$564,"outras_deducoes")))</f>
        <v/>
      </c>
      <c r="H10" s="18" t="n">
        <f aca="false">IF(OR(E10="",F10=""),"",E10-F10-IF(G10="",0,G10))</f>
        <v>134697789.57</v>
      </c>
      <c r="I10" s="6" t="n">
        <f aca="false">IF(COUNTIFS('Dados DCA'!$C$9:$C$564,$C10,'Dados DCA'!$E$9:$E$564,$D10,'Dados DCA'!$F$9:$F$564,"despesa_empenhada_total")=0,"",SUMIFS('Dados DCA'!$L$9:$L$564,'Dados DCA'!$C$9:$C$564,$C10,'Dados DCA'!$E$9:$E$564,$D10,'Dados DCA'!$F$9:$F$564,"despesa_empenhada_total"))</f>
        <v>138878607.13</v>
      </c>
      <c r="J10" s="6" t="n">
        <f aca="false">IF(COUNTIFS('Dados DCA'!$C$9:$C$564,$C10,'Dados DCA'!$E$9:$E$564,$D10,'Dados DCA'!$F$9:$F$564,"despesa_liquidada_total")=0,"",SUMIFS('Dados DCA'!$L$9:$L$564,'Dados DCA'!$C$9:$C$564,$C10,'Dados DCA'!$E$9:$E$564,$D10,'Dados DCA'!$F$9:$F$564,"despesa_liquidada_total"))</f>
        <v>138878607.13</v>
      </c>
      <c r="K10" s="6" t="n">
        <f aca="false">IF(COUNTIFS('Dados DCA'!$C$9:$C$564,$C10,'Dados DCA'!$E$9:$E$564,$D10,'Dados DCA'!$F$9:$F$564,"despesa_paga_total")=0,"",SUMIFS('Dados DCA'!$L$9:$L$564,'Dados DCA'!$C$9:$C$564,$C10,'Dados DCA'!$E$9:$E$564,$D10,'Dados DCA'!$F$9:$F$564,"despesa_paga_total"))</f>
        <v>128454436.44</v>
      </c>
      <c r="L10" s="6" t="str">
        <f aca="false">IF(COUNTIFS('Dados DCA'!$C$9:$C$564,$C10,'Dados DCA'!$E$9:$E$564,$D10,'Dados DCA'!$F$9:$F$564,"despesa_empenhada_exceto_intra")=0,"",SUMIFS('Dados DCA'!$L$9:$L$564,'Dados DCA'!$C$9:$C$564,$C10,'Dados DCA'!$E$9:$E$564,$D10,'Dados DCA'!$F$9:$F$564,"despesa_empenhada_exceto_intra"))</f>
        <v/>
      </c>
      <c r="M10" s="18" t="str">
        <f aca="false">IF(OR(I10="",L10=""),"",I10-L10)</f>
        <v/>
      </c>
      <c r="N10" s="6" t="n">
        <f aca="false">IF(COUNTIFS('Dados DCA'!$C$9:$C$564,$C10,'Dados DCA'!$E$9:$E$564,$D10,'Dados DCA'!$F$9:$F$564,"receita_tributaria_propria_bruta")=0,"",SUMIFS('Dados DCA'!$L$9:$L$564,'Dados DCA'!$C$9:$C$564,$C10,'Dados DCA'!$E$9:$E$564,$D10,'Dados DCA'!$F$9:$F$564,"receita_tributaria_propria_bruta"))</f>
        <v>12846710.62</v>
      </c>
      <c r="O10" s="6" t="n">
        <f aca="false">IF(COUNTIFS('Dados DCA'!$C$9:$C$564,$C10,'Dados DCA'!$E$9:$E$564,$D10,'Dados DCA'!$F$9:$F$564,"transferencias_correntes_total_brutas")=0,"",SUMIFS('Dados DCA'!$L$9:$L$564,'Dados DCA'!$C$9:$C$564,$C10,'Dados DCA'!$E$9:$E$564,$D10,'Dados DCA'!$F$9:$F$564,"transferencias_correntes_total_brutas"))</f>
        <v>106799138.44</v>
      </c>
      <c r="P10" s="6" t="n">
        <f aca="false">IF(COUNTIFS('Dados DCA'!$C$9:$C$564,$C10,'Dados DCA'!$E$9:$E$564,$D10,'Dados DCA'!$F$9:$F$564,"transferencias_intergov_correntes_proxy")=0,"",SUMIFS('Dados DCA'!$L$9:$L$564,'Dados DCA'!$C$9:$C$564,$C10,'Dados DCA'!$E$9:$E$564,$D10,'Dados DCA'!$F$9:$F$564,"transferencias_intergov_correntes_proxy"))</f>
        <v>104826195.25</v>
      </c>
      <c r="Q10" s="19" t="n">
        <f aca="false">IF(COUNTIFS('Dados IBGE'!$C$9:$C$164,$C10,'Dados IBGE'!$E$9:$E$164,$D10,'Dados IBGE'!$G$9:$G$164,"pop_censo")&gt;0,SUMIFS('Dados IBGE'!$J$9:$J$164,'Dados IBGE'!$C$9:$C$164,$C10,'Dados IBGE'!$E$9:$E$164,$D10,'Dados IBGE'!$G$9:$G$164,"pop_censo"),IF(COUNTIFS('Dados IBGE'!$C$9:$C$164,$C10,'Dados IBGE'!$E$9:$E$164,$D10,'Dados IBGE'!$G$9:$G$164,"pop_estimada")=0,"",SUMIFS('Dados IBGE'!$J$9:$J$164,'Dados IBGE'!$C$9:$C$164,$C10,'Dados IBGE'!$E$9:$E$164,$D10,'Dados IBGE'!$G$9:$G$164,"pop_estimada")))</f>
        <v>73154</v>
      </c>
      <c r="R10" s="6" t="n">
        <f aca="false">IF(COUNTIFS('Dados IBGE'!$C$9:$C$164,$C10,'Dados IBGE'!$E$9:$E$164,$D10,'Dados IBGE'!$G$9:$G$164,"pib")=0,"",SUMIFS('Dados IBGE'!$J$9:$J$164,'Dados IBGE'!$C$9:$C$164,$C10,'Dados IBGE'!$E$9:$E$164,$D10,'Dados IBGE'!$G$9:$G$164,"pib")*1000)</f>
        <v>948980000</v>
      </c>
      <c r="S10" s="20" t="n">
        <f aca="false">IF(COUNTIFS('Dados IBGE'!$E$9:$E$164,$D10,'Dados IBGE'!$G$9:$G$164,"ipca")&lt;&gt;12,"",SUMIFS('Dados IBGE'!$J$9:$J$164,'Dados IBGE'!$E$9:$E$164,$D10,'Dados IBGE'!$G$9:$G$164,"ipca")/12)</f>
        <v>4686.78666666667</v>
      </c>
      <c r="T10" s="20" t="n">
        <f aca="false">IF(OR(S10="",S10=0),"",AVERAGEIFS('Dados IBGE'!$J$9:$J$164,'Dados IBGE'!$E$9:$E$164,2024,'Dados IBGE'!$G$9:$G$164,"ipca")/S10)</f>
        <v>1.4833347083574</v>
      </c>
      <c r="U10" s="18" t="n">
        <f aca="false">IF(OR(E10="",T10=""),"",E10*T10)</f>
        <v>216881813.406462</v>
      </c>
      <c r="V10" s="18" t="n">
        <f aca="false">IF(OR(I10="",T10=""),"",I10*T10)</f>
        <v>206003458.20426</v>
      </c>
      <c r="W10" s="18" t="n">
        <f aca="false">IF(OR(Q10="",Q10=0,U10=""),"",U10/Q10)</f>
        <v>2964.72938467428</v>
      </c>
      <c r="X10" s="18" t="n">
        <f aca="false">IF(OR(Q10="",Q10=0,V10=""),"",V10/Q10)</f>
        <v>2816.02452639992</v>
      </c>
      <c r="Y10" s="21" t="n">
        <f aca="false">IF(OR(E10="",E10=0,N10=""),"",N10/E10)</f>
        <v>0.0878633918241748</v>
      </c>
      <c r="Z10" s="21" t="n">
        <f aca="false">IF(OR(E10="",E10=0,O10=""),"",O10/E10)</f>
        <v>0.730438695538859</v>
      </c>
      <c r="AA10" s="21" t="n">
        <f aca="false">IF(OR(R10="",R10=0,E10=""),"",E10/R10)</f>
        <v>0.154073134249405</v>
      </c>
      <c r="AB10" s="21" t="n">
        <f aca="false">IF(OR(R10="",R10=0,I10=""),"",I10/R10)</f>
        <v>0.146345135967038</v>
      </c>
      <c r="AC10" s="6" t="str">
        <f aca="false">IF(COUNTIFS('Dados DCA'!$C$9:$C$564,$C10,'Dados DCA'!$E$9:$E$564,$D10,'Dados DCA'!$F$9:$F$564,"receita_exceto_intra_bruta")=0,"",SUMIFS('Dados DCA'!$L$9:$L$564,'Dados DCA'!$C$9:$C$564,$C10,'Dados DCA'!$E$9:$E$564,$D10,'Dados DCA'!$F$9:$F$564,"receita_exceto_intra_bruta"))</f>
        <v/>
      </c>
      <c r="AD10" s="6" t="str">
        <f aca="false">IF(COUNTIFS('Dados DCA'!$C$9:$C$564,$C10,'Dados DCA'!$E$9:$E$564,$D10,'Dados DCA'!$F$9:$F$564,"receita_intra_bruta")=0,"",SUMIFS('Dados DCA'!$L$9:$L$564,'Dados DCA'!$C$9:$C$564,$C10,'Dados DCA'!$E$9:$E$564,$D10,'Dados DCA'!$F$9:$F$564,"receita_intra_bruta"))</f>
        <v/>
      </c>
    </row>
    <row r="11" customFormat="false" ht="15" hidden="false" customHeight="false" outlineLevel="0" collapsed="false">
      <c r="C11" s="12" t="s">
        <v>5</v>
      </c>
      <c r="D11" s="13" t="n">
        <v>2017</v>
      </c>
      <c r="E11" s="6" t="n">
        <f aca="false">IF(COUNTIFS('Dados DCA'!$C$9:$C$564,$C11,'Dados DCA'!$E$9:$E$564,$D11,'Dados DCA'!$F$9:$F$564,"receita_total_bruta")=0,"",SUMIFS('Dados DCA'!$L$9:$L$564,'Dados DCA'!$C$9:$C$564,$C11,'Dados DCA'!$E$9:$E$564,$D11,'Dados DCA'!$F$9:$F$564,"receita_total_bruta"))</f>
        <v>147298358.01</v>
      </c>
      <c r="F11" s="6" t="n">
        <f aca="false">IF(COUNTIFS('Dados DCA'!$C$9:$C$564,$C11,'Dados DCA'!$E$9:$E$564,$D11,'Dados DCA'!$F$9:$F$564,"deducao_fundeb")=0,"",ABS(SUMIFS('Dados DCA'!$L$9:$L$564,'Dados DCA'!$C$9:$C$564,$C11,'Dados DCA'!$E$9:$E$564,$D11,'Dados DCA'!$F$9:$F$564,"deducao_fundeb")))</f>
        <v>11283258.83</v>
      </c>
      <c r="G11" s="6" t="str">
        <f aca="false">IF(COUNTIFS('Dados DCA'!$C$9:$C$564,$C11,'Dados DCA'!$E$9:$E$564,$D11,'Dados DCA'!$F$9:$F$564,"outras_deducoes")=0,"",ABS(SUMIFS('Dados DCA'!$L$9:$L$564,'Dados DCA'!$C$9:$C$564,$C11,'Dados DCA'!$E$9:$E$564,$D11,'Dados DCA'!$F$9:$F$564,"outras_deducoes")))</f>
        <v/>
      </c>
      <c r="H11" s="18" t="n">
        <f aca="false">IF(OR(E11="",F11=""),"",E11-F11-IF(G11="",0,G11))</f>
        <v>136015099.18</v>
      </c>
      <c r="I11" s="6" t="n">
        <f aca="false">IF(COUNTIFS('Dados DCA'!$C$9:$C$564,$C11,'Dados DCA'!$E$9:$E$564,$D11,'Dados DCA'!$F$9:$F$564,"despesa_empenhada_total")=0,"",SUMIFS('Dados DCA'!$L$9:$L$564,'Dados DCA'!$C$9:$C$564,$C11,'Dados DCA'!$E$9:$E$564,$D11,'Dados DCA'!$F$9:$F$564,"despesa_empenhada_total"))</f>
        <v>140070545.37</v>
      </c>
      <c r="J11" s="6" t="n">
        <f aca="false">IF(COUNTIFS('Dados DCA'!$C$9:$C$564,$C11,'Dados DCA'!$E$9:$E$564,$D11,'Dados DCA'!$F$9:$F$564,"despesa_liquidada_total")=0,"",SUMIFS('Dados DCA'!$L$9:$L$564,'Dados DCA'!$C$9:$C$564,$C11,'Dados DCA'!$E$9:$E$564,$D11,'Dados DCA'!$F$9:$F$564,"despesa_liquidada_total"))</f>
        <v>140070545.37</v>
      </c>
      <c r="K11" s="6" t="n">
        <f aca="false">IF(COUNTIFS('Dados DCA'!$C$9:$C$564,$C11,'Dados DCA'!$E$9:$E$564,$D11,'Dados DCA'!$F$9:$F$564,"despesa_paga_total")=0,"",SUMIFS('Dados DCA'!$L$9:$L$564,'Dados DCA'!$C$9:$C$564,$C11,'Dados DCA'!$E$9:$E$564,$D11,'Dados DCA'!$F$9:$F$564,"despesa_paga_total"))</f>
        <v>128661278.75</v>
      </c>
      <c r="L11" s="6" t="n">
        <f aca="false">IF(COUNTIFS('Dados DCA'!$C$9:$C$564,$C11,'Dados DCA'!$E$9:$E$564,$D11,'Dados DCA'!$F$9:$F$564,"despesa_empenhada_exceto_intra")=0,"",SUMIFS('Dados DCA'!$L$9:$L$564,'Dados DCA'!$C$9:$C$564,$C11,'Dados DCA'!$E$9:$E$564,$D11,'Dados DCA'!$F$9:$F$564,"despesa_empenhada_exceto_intra"))</f>
        <v>133506341.73</v>
      </c>
      <c r="M11" s="18" t="n">
        <f aca="false">IF(OR(I11="",L11=""),"",I11-L11)</f>
        <v>6564203.64</v>
      </c>
      <c r="N11" s="6" t="n">
        <f aca="false">IF(COUNTIFS('Dados DCA'!$C$9:$C$564,$C11,'Dados DCA'!$E$9:$E$564,$D11,'Dados DCA'!$F$9:$F$564,"receita_tributaria_propria_bruta")=0,"",SUMIFS('Dados DCA'!$L$9:$L$564,'Dados DCA'!$C$9:$C$564,$C11,'Dados DCA'!$E$9:$E$564,$D11,'Dados DCA'!$F$9:$F$564,"receita_tributaria_propria_bruta"))</f>
        <v>11763761.23</v>
      </c>
      <c r="O11" s="6" t="n">
        <f aca="false">IF(COUNTIFS('Dados DCA'!$C$9:$C$564,$C11,'Dados DCA'!$E$9:$E$564,$D11,'Dados DCA'!$F$9:$F$564,"transferencias_correntes_total_brutas")=0,"",SUMIFS('Dados DCA'!$L$9:$L$564,'Dados DCA'!$C$9:$C$564,$C11,'Dados DCA'!$E$9:$E$564,$D11,'Dados DCA'!$F$9:$F$564,"transferencias_correntes_total_brutas"))</f>
        <v>106324721.26</v>
      </c>
      <c r="P11" s="6" t="n">
        <f aca="false">IF(COUNTIFS('Dados DCA'!$C$9:$C$564,$C11,'Dados DCA'!$E$9:$E$564,$D11,'Dados DCA'!$F$9:$F$564,"transferencias_intergov_correntes_proxy")=0,"",SUMIFS('Dados DCA'!$L$9:$L$564,'Dados DCA'!$C$9:$C$564,$C11,'Dados DCA'!$E$9:$E$564,$D11,'Dados DCA'!$F$9:$F$564,"transferencias_intergov_correntes_proxy"))</f>
        <v>104757390.76</v>
      </c>
      <c r="Q11" s="19" t="n">
        <f aca="false">IF(COUNTIFS('Dados IBGE'!$C$9:$C$164,$C11,'Dados IBGE'!$E$9:$E$164,$D11,'Dados IBGE'!$G$9:$G$164,"pop_censo")&gt;0,SUMIFS('Dados IBGE'!$J$9:$J$164,'Dados IBGE'!$C$9:$C$164,$C11,'Dados IBGE'!$E$9:$E$164,$D11,'Dados IBGE'!$G$9:$G$164,"pop_censo"),IF(COUNTIFS('Dados IBGE'!$C$9:$C$164,$C11,'Dados IBGE'!$E$9:$E$164,$D11,'Dados IBGE'!$G$9:$G$164,"pop_estimada")=0,"",SUMIFS('Dados IBGE'!$J$9:$J$164,'Dados IBGE'!$C$9:$C$164,$C11,'Dados IBGE'!$E$9:$E$164,$D11,'Dados IBGE'!$G$9:$G$164,"pop_estimada")))</f>
        <v>73667</v>
      </c>
      <c r="R11" s="6" t="n">
        <f aca="false">IF(COUNTIFS('Dados IBGE'!$C$9:$C$164,$C11,'Dados IBGE'!$E$9:$E$164,$D11,'Dados IBGE'!$G$9:$G$164,"pib")=0,"",SUMIFS('Dados IBGE'!$J$9:$J$164,'Dados IBGE'!$C$9:$C$164,$C11,'Dados IBGE'!$E$9:$E$164,$D11,'Dados IBGE'!$G$9:$G$164,"pib")*1000)</f>
        <v>977866000</v>
      </c>
      <c r="S11" s="20" t="n">
        <f aca="false">IF(COUNTIFS('Dados IBGE'!$E$9:$E$164,$D11,'Dados IBGE'!$G$9:$G$164,"ipca")&lt;&gt;12,"",SUMIFS('Dados IBGE'!$J$9:$J$164,'Dados IBGE'!$E$9:$E$164,$D11,'Dados IBGE'!$G$9:$G$164,"ipca")/12)</f>
        <v>4848.31083333333</v>
      </c>
      <c r="T11" s="20" t="n">
        <f aca="false">IF(OR(S11="",S11=0),"",AVERAGEIFS('Dados IBGE'!$J$9:$J$164,'Dados IBGE'!$E$9:$E$164,2024,'Dados IBGE'!$G$9:$G$164,"ipca")/S11)</f>
        <v>1.43391658916258</v>
      </c>
      <c r="U11" s="18" t="n">
        <f aca="false">IF(OR(E11="",T11=""),"",E11*T11)</f>
        <v>211213559.106948</v>
      </c>
      <c r="V11" s="18" t="n">
        <f aca="false">IF(OR(I11="",T11=""),"",I11*T11)</f>
        <v>200849478.659093</v>
      </c>
      <c r="W11" s="18" t="n">
        <f aca="false">IF(OR(Q11="",Q11=0,U11=""),"",U11/Q11)</f>
        <v>2867.13941258567</v>
      </c>
      <c r="X11" s="18" t="n">
        <f aca="false">IF(OR(Q11="",Q11=0,V11=""),"",V11/Q11)</f>
        <v>2726.45117432627</v>
      </c>
      <c r="Y11" s="21" t="n">
        <f aca="false">IF(OR(E11="",E11=0,N11=""),"",N11/E11)</f>
        <v>0.0798634919555679</v>
      </c>
      <c r="Z11" s="21" t="n">
        <f aca="false">IF(OR(E11="",E11=0,O11=""),"",O11/E11)</f>
        <v>0.721832359141313</v>
      </c>
      <c r="AA11" s="21" t="n">
        <f aca="false">IF(OR(R11="",R11=0,E11=""),"",E11/R11)</f>
        <v>0.150632456809011</v>
      </c>
      <c r="AB11" s="21" t="n">
        <f aca="false">IF(OR(R11="",R11=0,I11=""),"",I11/R11)</f>
        <v>0.143241042607065</v>
      </c>
      <c r="AC11" s="6" t="str">
        <f aca="false">IF(COUNTIFS('Dados DCA'!$C$9:$C$564,$C11,'Dados DCA'!$E$9:$E$564,$D11,'Dados DCA'!$F$9:$F$564,"receita_exceto_intra_bruta")=0,"",SUMIFS('Dados DCA'!$L$9:$L$564,'Dados DCA'!$C$9:$C$564,$C11,'Dados DCA'!$E$9:$E$564,$D11,'Dados DCA'!$F$9:$F$564,"receita_exceto_intra_bruta"))</f>
        <v/>
      </c>
      <c r="AD11" s="6" t="str">
        <f aca="false">IF(COUNTIFS('Dados DCA'!$C$9:$C$564,$C11,'Dados DCA'!$E$9:$E$564,$D11,'Dados DCA'!$F$9:$F$564,"receita_intra_bruta")=0,"",SUMIFS('Dados DCA'!$L$9:$L$564,'Dados DCA'!$C$9:$C$564,$C11,'Dados DCA'!$E$9:$E$564,$D11,'Dados DCA'!$F$9:$F$564,"receita_intra_bruta"))</f>
        <v/>
      </c>
    </row>
    <row r="12" customFormat="false" ht="15" hidden="false" customHeight="false" outlineLevel="0" collapsed="false">
      <c r="C12" s="12" t="s">
        <v>5</v>
      </c>
      <c r="D12" s="13" t="n">
        <v>2018</v>
      </c>
      <c r="E12" s="6" t="n">
        <f aca="false">IF(COUNTIFS('Dados DCA'!$C$9:$C$564,$C12,'Dados DCA'!$E$9:$E$564,$D12,'Dados DCA'!$F$9:$F$564,"receita_total_bruta")=0,"",SUMIFS('Dados DCA'!$L$9:$L$564,'Dados DCA'!$C$9:$C$564,$C12,'Dados DCA'!$E$9:$E$564,$D12,'Dados DCA'!$F$9:$F$564,"receita_total_bruta"))</f>
        <v>157454881.55</v>
      </c>
      <c r="F12" s="6" t="n">
        <f aca="false">IF(COUNTIFS('Dados DCA'!$C$9:$C$564,$C12,'Dados DCA'!$E$9:$E$564,$D12,'Dados DCA'!$F$9:$F$564,"deducao_fundeb")=0,"",ABS(SUMIFS('Dados DCA'!$L$9:$L$564,'Dados DCA'!$C$9:$C$564,$C12,'Dados DCA'!$E$9:$E$564,$D12,'Dados DCA'!$F$9:$F$564,"deducao_fundeb")))</f>
        <v>12079304.46</v>
      </c>
      <c r="G12" s="6" t="str">
        <f aca="false">IF(COUNTIFS('Dados DCA'!$C$9:$C$564,$C12,'Dados DCA'!$E$9:$E$564,$D12,'Dados DCA'!$F$9:$F$564,"outras_deducoes")=0,"",ABS(SUMIFS('Dados DCA'!$L$9:$L$564,'Dados DCA'!$C$9:$C$564,$C12,'Dados DCA'!$E$9:$E$564,$D12,'Dados DCA'!$F$9:$F$564,"outras_deducoes")))</f>
        <v/>
      </c>
      <c r="H12" s="18" t="n">
        <f aca="false">IF(OR(E12="",F12=""),"",E12-F12-IF(G12="",0,G12))</f>
        <v>145375577.09</v>
      </c>
      <c r="I12" s="6" t="n">
        <f aca="false">IF(COUNTIFS('Dados DCA'!$C$9:$C$564,$C12,'Dados DCA'!$E$9:$E$564,$D12,'Dados DCA'!$F$9:$F$564,"despesa_empenhada_total")=0,"",SUMIFS('Dados DCA'!$L$9:$L$564,'Dados DCA'!$C$9:$C$564,$C12,'Dados DCA'!$E$9:$E$564,$D12,'Dados DCA'!$F$9:$F$564,"despesa_empenhada_total"))</f>
        <v>149086022.77</v>
      </c>
      <c r="J12" s="6" t="n">
        <f aca="false">IF(COUNTIFS('Dados DCA'!$C$9:$C$564,$C12,'Dados DCA'!$E$9:$E$564,$D12,'Dados DCA'!$F$9:$F$564,"despesa_liquidada_total")=0,"",SUMIFS('Dados DCA'!$L$9:$L$564,'Dados DCA'!$C$9:$C$564,$C12,'Dados DCA'!$E$9:$E$564,$D12,'Dados DCA'!$F$9:$F$564,"despesa_liquidada_total"))</f>
        <v>149086022.77</v>
      </c>
      <c r="K12" s="6" t="n">
        <f aca="false">IF(COUNTIFS('Dados DCA'!$C$9:$C$564,$C12,'Dados DCA'!$E$9:$E$564,$D12,'Dados DCA'!$F$9:$F$564,"despesa_paga_total")=0,"",SUMIFS('Dados DCA'!$L$9:$L$564,'Dados DCA'!$C$9:$C$564,$C12,'Dados DCA'!$E$9:$E$564,$D12,'Dados DCA'!$F$9:$F$564,"despesa_paga_total"))</f>
        <v>140057247.92</v>
      </c>
      <c r="L12" s="6" t="n">
        <f aca="false">IF(COUNTIFS('Dados DCA'!$C$9:$C$564,$C12,'Dados DCA'!$E$9:$E$564,$D12,'Dados DCA'!$F$9:$F$564,"despesa_empenhada_exceto_intra")=0,"",SUMIFS('Dados DCA'!$L$9:$L$564,'Dados DCA'!$C$9:$C$564,$C12,'Dados DCA'!$E$9:$E$564,$D12,'Dados DCA'!$F$9:$F$564,"despesa_empenhada_exceto_intra"))</f>
        <v>142643645.99</v>
      </c>
      <c r="M12" s="18" t="n">
        <f aca="false">IF(OR(I12="",L12=""),"",I12-L12)</f>
        <v>6442376.78</v>
      </c>
      <c r="N12" s="6" t="n">
        <f aca="false">IF(COUNTIFS('Dados DCA'!$C$9:$C$564,$C12,'Dados DCA'!$E$9:$E$564,$D12,'Dados DCA'!$F$9:$F$564,"receita_tributaria_propria_bruta")=0,"",SUMIFS('Dados DCA'!$L$9:$L$564,'Dados DCA'!$C$9:$C$564,$C12,'Dados DCA'!$E$9:$E$564,$D12,'Dados DCA'!$F$9:$F$564,"receita_tributaria_propria_bruta"))</f>
        <v>13412964.41</v>
      </c>
      <c r="O12" s="6" t="n">
        <f aca="false">IF(COUNTIFS('Dados DCA'!$C$9:$C$564,$C12,'Dados DCA'!$E$9:$E$564,$D12,'Dados DCA'!$F$9:$F$564,"transferencias_correntes_total_brutas")=0,"",SUMIFS('Dados DCA'!$L$9:$L$564,'Dados DCA'!$C$9:$C$564,$C12,'Dados DCA'!$E$9:$E$564,$D12,'Dados DCA'!$F$9:$F$564,"transferencias_correntes_total_brutas"))</f>
        <v>114751227.41</v>
      </c>
      <c r="P12" s="6" t="n">
        <f aca="false">IF(COUNTIFS('Dados DCA'!$C$9:$C$564,$C12,'Dados DCA'!$E$9:$E$564,$D12,'Dados DCA'!$F$9:$F$564,"transferencias_intergov_correntes_proxy")=0,"",SUMIFS('Dados DCA'!$L$9:$L$564,'Dados DCA'!$C$9:$C$564,$C12,'Dados DCA'!$E$9:$E$564,$D12,'Dados DCA'!$F$9:$F$564,"transferencias_intergov_correntes_proxy"))</f>
        <v>90386381.24</v>
      </c>
      <c r="Q12" s="19" t="n">
        <f aca="false">IF(COUNTIFS('Dados IBGE'!$C$9:$C$164,$C12,'Dados IBGE'!$E$9:$E$164,$D12,'Dados IBGE'!$G$9:$G$164,"pop_censo")&gt;0,SUMIFS('Dados IBGE'!$J$9:$J$164,'Dados IBGE'!$C$9:$C$164,$C12,'Dados IBGE'!$E$9:$E$164,$D12,'Dados IBGE'!$G$9:$G$164,"pop_censo"),IF(COUNTIFS('Dados IBGE'!$C$9:$C$164,$C12,'Dados IBGE'!$E$9:$E$164,$D12,'Dados IBGE'!$G$9:$G$164,"pop_estimada")=0,"",SUMIFS('Dados IBGE'!$J$9:$J$164,'Dados IBGE'!$C$9:$C$164,$C12,'Dados IBGE'!$E$9:$E$164,$D12,'Dados IBGE'!$G$9:$G$164,"pop_estimada")))</f>
        <v>73844</v>
      </c>
      <c r="R12" s="6" t="n">
        <f aca="false">IF(COUNTIFS('Dados IBGE'!$C$9:$C$164,$C12,'Dados IBGE'!$E$9:$E$164,$D12,'Dados IBGE'!$G$9:$G$164,"pib")=0,"",SUMIFS('Dados IBGE'!$J$9:$J$164,'Dados IBGE'!$C$9:$C$164,$C12,'Dados IBGE'!$E$9:$E$164,$D12,'Dados IBGE'!$G$9:$G$164,"pib")*1000)</f>
        <v>1007779000</v>
      </c>
      <c r="S12" s="20" t="n">
        <f aca="false">IF(COUNTIFS('Dados IBGE'!$E$9:$E$164,$D12,'Dados IBGE'!$G$9:$G$164,"ipca")&lt;&gt;12,"",SUMIFS('Dados IBGE'!$J$9:$J$164,'Dados IBGE'!$E$9:$E$164,$D12,'Dados IBGE'!$G$9:$G$164,"ipca")/12)</f>
        <v>5025.99416666667</v>
      </c>
      <c r="T12" s="20" t="n">
        <f aca="false">IF(OR(S12="",S12=0),"",AVERAGEIFS('Dados IBGE'!$J$9:$J$164,'Dados IBGE'!$E$9:$E$164,2024,'Dados IBGE'!$G$9:$G$164,"ipca")/S12)</f>
        <v>1.38322351813315</v>
      </c>
      <c r="U12" s="18" t="n">
        <f aca="false">IF(OR(E12="",T12=""),"",E12*T12)</f>
        <v>217795295.204829</v>
      </c>
      <c r="V12" s="18" t="n">
        <f aca="false">IF(OR(I12="",T12=""),"",I12*T12)</f>
        <v>206219292.920398</v>
      </c>
      <c r="W12" s="18" t="n">
        <f aca="false">IF(OR(Q12="",Q12=0,U12=""),"",U12/Q12)</f>
        <v>2949.39731332036</v>
      </c>
      <c r="X12" s="18" t="n">
        <f aca="false">IF(OR(Q12="",Q12=0,V12=""),"",V12/Q12)</f>
        <v>2792.63437679971</v>
      </c>
      <c r="Y12" s="21" t="n">
        <f aca="false">IF(OR(E12="",E12=0,N12=""),"",N12/E12)</f>
        <v>0.0851860817394899</v>
      </c>
      <c r="Z12" s="21" t="n">
        <f aca="false">IF(OR(E12="",E12=0,O12=""),"",O12/E12)</f>
        <v>0.728787994887034</v>
      </c>
      <c r="AA12" s="21" t="n">
        <f aca="false">IF(OR(R12="",R12=0,E12=""),"",E12/R12)</f>
        <v>0.156239494522113</v>
      </c>
      <c r="AB12" s="21" t="n">
        <f aca="false">IF(OR(R12="",R12=0,I12=""),"",I12/R12)</f>
        <v>0.147935234580201</v>
      </c>
      <c r="AC12" s="6" t="str">
        <f aca="false">IF(COUNTIFS('Dados DCA'!$C$9:$C$564,$C12,'Dados DCA'!$E$9:$E$564,$D12,'Dados DCA'!$F$9:$F$564,"receita_exceto_intra_bruta")=0,"",SUMIFS('Dados DCA'!$L$9:$L$564,'Dados DCA'!$C$9:$C$564,$C12,'Dados DCA'!$E$9:$E$564,$D12,'Dados DCA'!$F$9:$F$564,"receita_exceto_intra_bruta"))</f>
        <v/>
      </c>
      <c r="AD12" s="6" t="str">
        <f aca="false">IF(COUNTIFS('Dados DCA'!$C$9:$C$564,$C12,'Dados DCA'!$E$9:$E$564,$D12,'Dados DCA'!$F$9:$F$564,"receita_intra_bruta")=0,"",SUMIFS('Dados DCA'!$L$9:$L$564,'Dados DCA'!$C$9:$C$564,$C12,'Dados DCA'!$E$9:$E$564,$D12,'Dados DCA'!$F$9:$F$564,"receita_intra_bruta"))</f>
        <v/>
      </c>
    </row>
    <row r="13" customFormat="false" ht="15" hidden="false" customHeight="false" outlineLevel="0" collapsed="false">
      <c r="C13" s="12" t="s">
        <v>5</v>
      </c>
      <c r="D13" s="13" t="n">
        <v>2019</v>
      </c>
      <c r="E13" s="6" t="n">
        <f aca="false">IF(COUNTIFS('Dados DCA'!$C$9:$C$564,$C13,'Dados DCA'!$E$9:$E$564,$D13,'Dados DCA'!$F$9:$F$564,"receita_total_bruta")=0,"",SUMIFS('Dados DCA'!$L$9:$L$564,'Dados DCA'!$C$9:$C$564,$C13,'Dados DCA'!$E$9:$E$564,$D13,'Dados DCA'!$F$9:$F$564,"receita_total_bruta"))</f>
        <v>175825315.89</v>
      </c>
      <c r="F13" s="6" t="n">
        <f aca="false">IF(COUNTIFS('Dados DCA'!$C$9:$C$564,$C13,'Dados DCA'!$E$9:$E$564,$D13,'Dados DCA'!$F$9:$F$564,"deducao_fundeb")=0,"",ABS(SUMIFS('Dados DCA'!$L$9:$L$564,'Dados DCA'!$C$9:$C$564,$C13,'Dados DCA'!$E$9:$E$564,$D13,'Dados DCA'!$F$9:$F$564,"deducao_fundeb")))</f>
        <v>13092007.87</v>
      </c>
      <c r="G13" s="6" t="str">
        <f aca="false">IF(COUNTIFS('Dados DCA'!$C$9:$C$564,$C13,'Dados DCA'!$E$9:$E$564,$D13,'Dados DCA'!$F$9:$F$564,"outras_deducoes")=0,"",ABS(SUMIFS('Dados DCA'!$L$9:$L$564,'Dados DCA'!$C$9:$C$564,$C13,'Dados DCA'!$E$9:$E$564,$D13,'Dados DCA'!$F$9:$F$564,"outras_deducoes")))</f>
        <v/>
      </c>
      <c r="H13" s="18" t="n">
        <f aca="false">IF(OR(E13="",F13=""),"",E13-F13-IF(G13="",0,G13))</f>
        <v>162733308.02</v>
      </c>
      <c r="I13" s="6" t="n">
        <f aca="false">IF(COUNTIFS('Dados DCA'!$C$9:$C$564,$C13,'Dados DCA'!$E$9:$E$564,$D13,'Dados DCA'!$F$9:$F$564,"despesa_empenhada_total")=0,"",SUMIFS('Dados DCA'!$L$9:$L$564,'Dados DCA'!$C$9:$C$564,$C13,'Dados DCA'!$E$9:$E$564,$D13,'Dados DCA'!$F$9:$F$564,"despesa_empenhada_total"))</f>
        <v>161175792.5</v>
      </c>
      <c r="J13" s="6" t="n">
        <f aca="false">IF(COUNTIFS('Dados DCA'!$C$9:$C$564,$C13,'Dados DCA'!$E$9:$E$564,$D13,'Dados DCA'!$F$9:$F$564,"despesa_liquidada_total")=0,"",SUMIFS('Dados DCA'!$L$9:$L$564,'Dados DCA'!$C$9:$C$564,$C13,'Dados DCA'!$E$9:$E$564,$D13,'Dados DCA'!$F$9:$F$564,"despesa_liquidada_total"))</f>
        <v>161175792.5</v>
      </c>
      <c r="K13" s="6" t="n">
        <f aca="false">IF(COUNTIFS('Dados DCA'!$C$9:$C$564,$C13,'Dados DCA'!$E$9:$E$564,$D13,'Dados DCA'!$F$9:$F$564,"despesa_paga_total")=0,"",SUMIFS('Dados DCA'!$L$9:$L$564,'Dados DCA'!$C$9:$C$564,$C13,'Dados DCA'!$E$9:$E$564,$D13,'Dados DCA'!$F$9:$F$564,"despesa_paga_total"))</f>
        <v>154462878.53</v>
      </c>
      <c r="L13" s="6" t="n">
        <f aca="false">IF(COUNTIFS('Dados DCA'!$C$9:$C$564,$C13,'Dados DCA'!$E$9:$E$564,$D13,'Dados DCA'!$F$9:$F$564,"despesa_empenhada_exceto_intra")=0,"",SUMIFS('Dados DCA'!$L$9:$L$564,'Dados DCA'!$C$9:$C$564,$C13,'Dados DCA'!$E$9:$E$564,$D13,'Dados DCA'!$F$9:$F$564,"despesa_empenhada_exceto_intra"))</f>
        <v>154473795.18</v>
      </c>
      <c r="M13" s="18" t="n">
        <f aca="false">IF(OR(I13="",L13=""),"",I13-L13)</f>
        <v>6701997.31999999</v>
      </c>
      <c r="N13" s="6" t="n">
        <f aca="false">IF(COUNTIFS('Dados DCA'!$C$9:$C$564,$C13,'Dados DCA'!$E$9:$E$564,$D13,'Dados DCA'!$F$9:$F$564,"receita_tributaria_propria_bruta")=0,"",SUMIFS('Dados DCA'!$L$9:$L$564,'Dados DCA'!$C$9:$C$564,$C13,'Dados DCA'!$E$9:$E$564,$D13,'Dados DCA'!$F$9:$F$564,"receita_tributaria_propria_bruta"))</f>
        <v>16534029.45</v>
      </c>
      <c r="O13" s="6" t="n">
        <f aca="false">IF(COUNTIFS('Dados DCA'!$C$9:$C$564,$C13,'Dados DCA'!$E$9:$E$564,$D13,'Dados DCA'!$F$9:$F$564,"transferencias_correntes_total_brutas")=0,"",SUMIFS('Dados DCA'!$L$9:$L$564,'Dados DCA'!$C$9:$C$564,$C13,'Dados DCA'!$E$9:$E$564,$D13,'Dados DCA'!$F$9:$F$564,"transferencias_correntes_total_brutas"))</f>
        <v>126996824.43</v>
      </c>
      <c r="P13" s="6" t="n">
        <f aca="false">IF(COUNTIFS('Dados DCA'!$C$9:$C$564,$C13,'Dados DCA'!$E$9:$E$564,$D13,'Dados DCA'!$F$9:$F$564,"transferencias_intergov_correntes_proxy")=0,"",SUMIFS('Dados DCA'!$L$9:$L$564,'Dados DCA'!$C$9:$C$564,$C13,'Dados DCA'!$E$9:$E$564,$D13,'Dados DCA'!$F$9:$F$564,"transferencias_intergov_correntes_proxy"))</f>
        <v>102208910.82</v>
      </c>
      <c r="Q13" s="19" t="n">
        <f aca="false">IF(COUNTIFS('Dados IBGE'!$C$9:$C$164,$C13,'Dados IBGE'!$E$9:$E$164,$D13,'Dados IBGE'!$G$9:$G$164,"pop_censo")&gt;0,SUMIFS('Dados IBGE'!$J$9:$J$164,'Dados IBGE'!$C$9:$C$164,$C13,'Dados IBGE'!$E$9:$E$164,$D13,'Dados IBGE'!$G$9:$G$164,"pop_censo"),IF(COUNTIFS('Dados IBGE'!$C$9:$C$164,$C13,'Dados IBGE'!$E$9:$E$164,$D13,'Dados IBGE'!$G$9:$G$164,"pop_estimada")=0,"",SUMIFS('Dados IBGE'!$J$9:$J$164,'Dados IBGE'!$C$9:$C$164,$C13,'Dados IBGE'!$E$9:$E$164,$D13,'Dados IBGE'!$G$9:$G$164,"pop_estimada")))</f>
        <v>74338</v>
      </c>
      <c r="R13" s="6" t="n">
        <f aca="false">IF(COUNTIFS('Dados IBGE'!$C$9:$C$164,$C13,'Dados IBGE'!$E$9:$E$164,$D13,'Dados IBGE'!$G$9:$G$164,"pib")=0,"",SUMIFS('Dados IBGE'!$J$9:$J$164,'Dados IBGE'!$C$9:$C$164,$C13,'Dados IBGE'!$E$9:$E$164,$D13,'Dados IBGE'!$G$9:$G$164,"pib")*1000)</f>
        <v>1054119000</v>
      </c>
      <c r="S13" s="20" t="n">
        <f aca="false">IF(COUNTIFS('Dados IBGE'!$E$9:$E$164,$D13,'Dados IBGE'!$G$9:$G$164,"ipca")&lt;&gt;12,"",SUMIFS('Dados IBGE'!$J$9:$J$164,'Dados IBGE'!$E$9:$E$164,$D13,'Dados IBGE'!$G$9:$G$164,"ipca")/12)</f>
        <v>5213.61333333333</v>
      </c>
      <c r="T13" s="20" t="n">
        <f aca="false">IF(OR(S13="",S13=0),"",AVERAGEIFS('Dados IBGE'!$J$9:$J$164,'Dados IBGE'!$E$9:$E$164,2024,'Dados IBGE'!$G$9:$G$164,"ipca")/S13)</f>
        <v>1.33344628549362</v>
      </c>
      <c r="U13" s="18" t="n">
        <f aca="false">IF(OR(E13="",T13=""),"",E13*T13)</f>
        <v>234453614.369263</v>
      </c>
      <c r="V13" s="18" t="n">
        <f aca="false">IF(OR(I13="",T13=""),"",I13*T13)</f>
        <v>214919261.820615</v>
      </c>
      <c r="W13" s="18" t="n">
        <f aca="false">IF(OR(Q13="",Q13=0,U13=""),"",U13/Q13)</f>
        <v>3153.88649639838</v>
      </c>
      <c r="X13" s="18" t="n">
        <f aca="false">IF(OR(Q13="",Q13=0,V13=""),"",V13/Q13)</f>
        <v>2891.1090131644</v>
      </c>
      <c r="Y13" s="21" t="n">
        <f aca="false">IF(OR(E13="",E13=0,N13=""),"",N13/E13)</f>
        <v>0.0940366827513282</v>
      </c>
      <c r="Z13" s="21" t="n">
        <f aca="false">IF(OR(E13="",E13=0,O13=""),"",O13/E13)</f>
        <v>0.722289755529015</v>
      </c>
      <c r="AA13" s="21" t="n">
        <f aca="false">IF(OR(R13="",R13=0,E13=""),"",E13/R13)</f>
        <v>0.166798355679008</v>
      </c>
      <c r="AB13" s="21" t="n">
        <f aca="false">IF(OR(R13="",R13=0,I13=""),"",I13/R13)</f>
        <v>0.152900946192982</v>
      </c>
      <c r="AC13" s="6" t="n">
        <f aca="false">IF(COUNTIFS('Dados DCA'!$C$9:$C$564,$C13,'Dados DCA'!$E$9:$E$564,$D13,'Dados DCA'!$F$9:$F$564,"receita_exceto_intra_bruta")=0,"",SUMIFS('Dados DCA'!$L$9:$L$564,'Dados DCA'!$C$9:$C$564,$C13,'Dados DCA'!$E$9:$E$564,$D13,'Dados DCA'!$F$9:$F$564,"receita_exceto_intra_bruta"))</f>
        <v>168925426.31</v>
      </c>
      <c r="AD13" s="6" t="n">
        <f aca="false">IF(COUNTIFS('Dados DCA'!$C$9:$C$564,$C13,'Dados DCA'!$E$9:$E$564,$D13,'Dados DCA'!$F$9:$F$564,"receita_intra_bruta")=0,"",SUMIFS('Dados DCA'!$L$9:$L$564,'Dados DCA'!$C$9:$C$564,$C13,'Dados DCA'!$E$9:$E$564,$D13,'Dados DCA'!$F$9:$F$564,"receita_intra_bruta"))</f>
        <v>6899889.58</v>
      </c>
    </row>
    <row r="14" customFormat="false" ht="15" hidden="false" customHeight="false" outlineLevel="0" collapsed="false">
      <c r="C14" s="12" t="s">
        <v>5</v>
      </c>
      <c r="D14" s="13" t="n">
        <v>2020</v>
      </c>
      <c r="E14" s="6" t="n">
        <f aca="false">IF(COUNTIFS('Dados DCA'!$C$9:$C$564,$C14,'Dados DCA'!$E$9:$E$564,$D14,'Dados DCA'!$F$9:$F$564,"receita_total_bruta")=0,"",SUMIFS('Dados DCA'!$L$9:$L$564,'Dados DCA'!$C$9:$C$564,$C14,'Dados DCA'!$E$9:$E$564,$D14,'Dados DCA'!$F$9:$F$564,"receita_total_bruta"))</f>
        <v>194331449.9</v>
      </c>
      <c r="F14" s="6" t="n">
        <f aca="false">IF(COUNTIFS('Dados DCA'!$C$9:$C$564,$C14,'Dados DCA'!$E$9:$E$564,$D14,'Dados DCA'!$F$9:$F$564,"deducao_fundeb")=0,"",ABS(SUMIFS('Dados DCA'!$L$9:$L$564,'Dados DCA'!$C$9:$C$564,$C14,'Dados DCA'!$E$9:$E$564,$D14,'Dados DCA'!$F$9:$F$564,"deducao_fundeb")))</f>
        <v>12332254.15</v>
      </c>
      <c r="G14" s="6" t="str">
        <f aca="false">IF(COUNTIFS('Dados DCA'!$C$9:$C$564,$C14,'Dados DCA'!$E$9:$E$564,$D14,'Dados DCA'!$F$9:$F$564,"outras_deducoes")=0,"",ABS(SUMIFS('Dados DCA'!$L$9:$L$564,'Dados DCA'!$C$9:$C$564,$C14,'Dados DCA'!$E$9:$E$564,$D14,'Dados DCA'!$F$9:$F$564,"outras_deducoes")))</f>
        <v/>
      </c>
      <c r="H14" s="18" t="n">
        <f aca="false">IF(OR(E14="",F14=""),"",E14-F14-IF(G14="",0,G14))</f>
        <v>181999195.75</v>
      </c>
      <c r="I14" s="6" t="n">
        <f aca="false">IF(COUNTIFS('Dados DCA'!$C$9:$C$564,$C14,'Dados DCA'!$E$9:$E$564,$D14,'Dados DCA'!$F$9:$F$564,"despesa_empenhada_total")=0,"",SUMIFS('Dados DCA'!$L$9:$L$564,'Dados DCA'!$C$9:$C$564,$C14,'Dados DCA'!$E$9:$E$564,$D14,'Dados DCA'!$F$9:$F$564,"despesa_empenhada_total"))</f>
        <v>194867522.94</v>
      </c>
      <c r="J14" s="6" t="n">
        <f aca="false">IF(COUNTIFS('Dados DCA'!$C$9:$C$564,$C14,'Dados DCA'!$E$9:$E$564,$D14,'Dados DCA'!$F$9:$F$564,"despesa_liquidada_total")=0,"",SUMIFS('Dados DCA'!$L$9:$L$564,'Dados DCA'!$C$9:$C$564,$C14,'Dados DCA'!$E$9:$E$564,$D14,'Dados DCA'!$F$9:$F$564,"despesa_liquidada_total"))</f>
        <v>194867522.94</v>
      </c>
      <c r="K14" s="6" t="n">
        <f aca="false">IF(COUNTIFS('Dados DCA'!$C$9:$C$564,$C14,'Dados DCA'!$E$9:$E$564,$D14,'Dados DCA'!$F$9:$F$564,"despesa_paga_total")=0,"",SUMIFS('Dados DCA'!$L$9:$L$564,'Dados DCA'!$C$9:$C$564,$C14,'Dados DCA'!$E$9:$E$564,$D14,'Dados DCA'!$F$9:$F$564,"despesa_paga_total"))</f>
        <v>189489234.67</v>
      </c>
      <c r="L14" s="6" t="n">
        <f aca="false">IF(COUNTIFS('Dados DCA'!$C$9:$C$564,$C14,'Dados DCA'!$E$9:$E$564,$D14,'Dados DCA'!$F$9:$F$564,"despesa_empenhada_exceto_intra")=0,"",SUMIFS('Dados DCA'!$L$9:$L$564,'Dados DCA'!$C$9:$C$564,$C14,'Dados DCA'!$E$9:$E$564,$D14,'Dados DCA'!$F$9:$F$564,"despesa_empenhada_exceto_intra"))</f>
        <v>187134713.94</v>
      </c>
      <c r="M14" s="18" t="n">
        <f aca="false">IF(OR(I14="",L14=""),"",I14-L14)</f>
        <v>7732809</v>
      </c>
      <c r="N14" s="6" t="n">
        <f aca="false">IF(COUNTIFS('Dados DCA'!$C$9:$C$564,$C14,'Dados DCA'!$E$9:$E$564,$D14,'Dados DCA'!$F$9:$F$564,"receita_tributaria_propria_bruta")=0,"",SUMIFS('Dados DCA'!$L$9:$L$564,'Dados DCA'!$C$9:$C$564,$C14,'Dados DCA'!$E$9:$E$564,$D14,'Dados DCA'!$F$9:$F$564,"receita_tributaria_propria_bruta"))</f>
        <v>18667002.94</v>
      </c>
      <c r="O14" s="6" t="n">
        <f aca="false">IF(COUNTIFS('Dados DCA'!$C$9:$C$564,$C14,'Dados DCA'!$E$9:$E$564,$D14,'Dados DCA'!$F$9:$F$564,"transferencias_correntes_total_brutas")=0,"",SUMIFS('Dados DCA'!$L$9:$L$564,'Dados DCA'!$C$9:$C$564,$C14,'Dados DCA'!$E$9:$E$564,$D14,'Dados DCA'!$F$9:$F$564,"transferencias_correntes_total_brutas"))</f>
        <v>139734848.92</v>
      </c>
      <c r="P14" s="6" t="n">
        <f aca="false">IF(COUNTIFS('Dados DCA'!$C$9:$C$564,$C14,'Dados DCA'!$E$9:$E$564,$D14,'Dados DCA'!$F$9:$F$564,"transferencias_intergov_correntes_proxy")=0,"",SUMIFS('Dados DCA'!$L$9:$L$564,'Dados DCA'!$C$9:$C$564,$C14,'Dados DCA'!$E$9:$E$564,$D14,'Dados DCA'!$F$9:$F$564,"transferencias_intergov_correntes_proxy"))</f>
        <v>113378029.17</v>
      </c>
      <c r="Q14" s="19" t="n">
        <f aca="false">IF(COUNTIFS('Dados IBGE'!$C$9:$C$164,$C14,'Dados IBGE'!$E$9:$E$164,$D14,'Dados IBGE'!$G$9:$G$164,"pop_censo")&gt;0,SUMIFS('Dados IBGE'!$J$9:$J$164,'Dados IBGE'!$C$9:$C$164,$C14,'Dados IBGE'!$E$9:$E$164,$D14,'Dados IBGE'!$G$9:$G$164,"pop_censo"),IF(COUNTIFS('Dados IBGE'!$C$9:$C$164,$C14,'Dados IBGE'!$E$9:$E$164,$D14,'Dados IBGE'!$G$9:$G$164,"pop_estimada")=0,"",SUMIFS('Dados IBGE'!$J$9:$J$164,'Dados IBGE'!$C$9:$C$164,$C14,'Dados IBGE'!$E$9:$E$164,$D14,'Dados IBGE'!$G$9:$G$164,"pop_estimada")))</f>
        <v>74822</v>
      </c>
      <c r="R14" s="6" t="n">
        <f aca="false">IF(COUNTIFS('Dados IBGE'!$C$9:$C$164,$C14,'Dados IBGE'!$E$9:$E$164,$D14,'Dados IBGE'!$G$9:$G$164,"pib")=0,"",SUMIFS('Dados IBGE'!$J$9:$J$164,'Dados IBGE'!$C$9:$C$164,$C14,'Dados IBGE'!$E$9:$E$164,$D14,'Dados IBGE'!$G$9:$G$164,"pib")*1000)</f>
        <v>1240609000</v>
      </c>
      <c r="S14" s="20" t="n">
        <f aca="false">IF(COUNTIFS('Dados IBGE'!$E$9:$E$164,$D14,'Dados IBGE'!$G$9:$G$164,"ipca")&lt;&gt;12,"",SUMIFS('Dados IBGE'!$J$9:$J$164,'Dados IBGE'!$E$9:$E$164,$D14,'Dados IBGE'!$G$9:$G$164,"ipca")/12)</f>
        <v>5381.0625</v>
      </c>
      <c r="T14" s="20" t="n">
        <f aca="false">IF(OR(S14="",S14=0),"",AVERAGEIFS('Dados IBGE'!$J$9:$J$164,'Dados IBGE'!$E$9:$E$164,2024,'Dados IBGE'!$G$9:$G$164,"ipca")/S14)</f>
        <v>1.29195179080959</v>
      </c>
      <c r="U14" s="18" t="n">
        <f aca="false">IF(OR(E14="",T14=""),"",E14*T14)</f>
        <v>251066864.708929</v>
      </c>
      <c r="V14" s="18" t="n">
        <f aca="false">IF(OR(I14="",T14=""),"",I14*T14)</f>
        <v>251759445.232962</v>
      </c>
      <c r="W14" s="18" t="n">
        <f aca="false">IF(OR(Q14="",Q14=0,U14=""),"",U14/Q14)</f>
        <v>3355.52196825705</v>
      </c>
      <c r="X14" s="18" t="n">
        <f aca="false">IF(OR(Q14="",Q14=0,V14=""),"",V14/Q14)</f>
        <v>3364.77834370856</v>
      </c>
      <c r="Y14" s="21" t="n">
        <f aca="false">IF(OR(E14="",E14=0,N14=""),"",N14/E14)</f>
        <v>0.0960575498695953</v>
      </c>
      <c r="Z14" s="21" t="n">
        <f aca="false">IF(OR(E14="",E14=0,O14=""),"",O14/E14)</f>
        <v>0.719054218922904</v>
      </c>
      <c r="AA14" s="21" t="n">
        <f aca="false">IF(OR(R14="",R14=0,E14=""),"",E14/R14)</f>
        <v>0.156641979785734</v>
      </c>
      <c r="AB14" s="21" t="n">
        <f aca="false">IF(OR(R14="",R14=0,I14=""),"",I14/R14)</f>
        <v>0.157074084534289</v>
      </c>
      <c r="AC14" s="6" t="n">
        <f aca="false">IF(COUNTIFS('Dados DCA'!$C$9:$C$564,$C14,'Dados DCA'!$E$9:$E$564,$D14,'Dados DCA'!$F$9:$F$564,"receita_exceto_intra_bruta")=0,"",SUMIFS('Dados DCA'!$L$9:$L$564,'Dados DCA'!$C$9:$C$564,$C14,'Dados DCA'!$E$9:$E$564,$D14,'Dados DCA'!$F$9:$F$564,"receita_exceto_intra_bruta"))</f>
        <v>186773648.68</v>
      </c>
      <c r="AD14" s="6" t="n">
        <f aca="false">IF(COUNTIFS('Dados DCA'!$C$9:$C$564,$C14,'Dados DCA'!$E$9:$E$564,$D14,'Dados DCA'!$F$9:$F$564,"receita_intra_bruta")=0,"",SUMIFS('Dados DCA'!$L$9:$L$564,'Dados DCA'!$C$9:$C$564,$C14,'Dados DCA'!$E$9:$E$564,$D14,'Dados DCA'!$F$9:$F$564,"receita_intra_bruta"))</f>
        <v>7557801.22</v>
      </c>
    </row>
    <row r="15" customFormat="false" ht="15" hidden="false" customHeight="false" outlineLevel="0" collapsed="false">
      <c r="C15" s="12" t="s">
        <v>5</v>
      </c>
      <c r="D15" s="13" t="n">
        <v>2021</v>
      </c>
      <c r="E15" s="6" t="n">
        <f aca="false">IF(COUNTIFS('Dados DCA'!$C$9:$C$564,$C15,'Dados DCA'!$E$9:$E$564,$D15,'Dados DCA'!$F$9:$F$564,"receita_total_bruta")=0,"",SUMIFS('Dados DCA'!$L$9:$L$564,'Dados DCA'!$C$9:$C$564,$C15,'Dados DCA'!$E$9:$E$564,$D15,'Dados DCA'!$F$9:$F$564,"receita_total_bruta"))</f>
        <v>216015961.16</v>
      </c>
      <c r="F15" s="6" t="n">
        <f aca="false">IF(COUNTIFS('Dados DCA'!$C$9:$C$564,$C15,'Dados DCA'!$E$9:$E$564,$D15,'Dados DCA'!$F$9:$F$564,"deducao_fundeb")=0,"",ABS(SUMIFS('Dados DCA'!$L$9:$L$564,'Dados DCA'!$C$9:$C$564,$C15,'Dados DCA'!$E$9:$E$564,$D15,'Dados DCA'!$F$9:$F$564,"deducao_fundeb")))</f>
        <v>16269558.61</v>
      </c>
      <c r="G15" s="6" t="str">
        <f aca="false">IF(COUNTIFS('Dados DCA'!$C$9:$C$564,$C15,'Dados DCA'!$E$9:$E$564,$D15,'Dados DCA'!$F$9:$F$564,"outras_deducoes")=0,"",ABS(SUMIFS('Dados DCA'!$L$9:$L$564,'Dados DCA'!$C$9:$C$564,$C15,'Dados DCA'!$E$9:$E$564,$D15,'Dados DCA'!$F$9:$F$564,"outras_deducoes")))</f>
        <v/>
      </c>
      <c r="H15" s="18" t="n">
        <f aca="false">IF(OR(E15="",F15=""),"",E15-F15-IF(G15="",0,G15))</f>
        <v>199746402.55</v>
      </c>
      <c r="I15" s="6" t="n">
        <f aca="false">IF(COUNTIFS('Dados DCA'!$C$9:$C$564,$C15,'Dados DCA'!$E$9:$E$564,$D15,'Dados DCA'!$F$9:$F$564,"despesa_empenhada_total")=0,"",SUMIFS('Dados DCA'!$L$9:$L$564,'Dados DCA'!$C$9:$C$564,$C15,'Dados DCA'!$E$9:$E$564,$D15,'Dados DCA'!$F$9:$F$564,"despesa_empenhada_total"))</f>
        <v>199521923.37</v>
      </c>
      <c r="J15" s="6" t="n">
        <f aca="false">IF(COUNTIFS('Dados DCA'!$C$9:$C$564,$C15,'Dados DCA'!$E$9:$E$564,$D15,'Dados DCA'!$F$9:$F$564,"despesa_liquidada_total")=0,"",SUMIFS('Dados DCA'!$L$9:$L$564,'Dados DCA'!$C$9:$C$564,$C15,'Dados DCA'!$E$9:$E$564,$D15,'Dados DCA'!$F$9:$F$564,"despesa_liquidada_total"))</f>
        <v>196364699.37</v>
      </c>
      <c r="K15" s="6" t="n">
        <f aca="false">IF(COUNTIFS('Dados DCA'!$C$9:$C$564,$C15,'Dados DCA'!$E$9:$E$564,$D15,'Dados DCA'!$F$9:$F$564,"despesa_paga_total")=0,"",SUMIFS('Dados DCA'!$L$9:$L$564,'Dados DCA'!$C$9:$C$564,$C15,'Dados DCA'!$E$9:$E$564,$D15,'Dados DCA'!$F$9:$F$564,"despesa_paga_total"))</f>
        <v>189550670.4</v>
      </c>
      <c r="L15" s="6" t="n">
        <f aca="false">IF(COUNTIFS('Dados DCA'!$C$9:$C$564,$C15,'Dados DCA'!$E$9:$E$564,$D15,'Dados DCA'!$F$9:$F$564,"despesa_empenhada_exceto_intra")=0,"",SUMIFS('Dados DCA'!$L$9:$L$564,'Dados DCA'!$C$9:$C$564,$C15,'Dados DCA'!$E$9:$E$564,$D15,'Dados DCA'!$F$9:$F$564,"despesa_empenhada_exceto_intra"))</f>
        <v>191085836.73</v>
      </c>
      <c r="M15" s="18" t="n">
        <f aca="false">IF(OR(I15="",L15=""),"",I15-L15)</f>
        <v>8436086.64000002</v>
      </c>
      <c r="N15" s="6" t="n">
        <f aca="false">IF(COUNTIFS('Dados DCA'!$C$9:$C$564,$C15,'Dados DCA'!$E$9:$E$564,$D15,'Dados DCA'!$F$9:$F$564,"receita_tributaria_propria_bruta")=0,"",SUMIFS('Dados DCA'!$L$9:$L$564,'Dados DCA'!$C$9:$C$564,$C15,'Dados DCA'!$E$9:$E$564,$D15,'Dados DCA'!$F$9:$F$564,"receita_tributaria_propria_bruta"))</f>
        <v>24779690.09</v>
      </c>
      <c r="O15" s="6" t="n">
        <f aca="false">IF(COUNTIFS('Dados DCA'!$C$9:$C$564,$C15,'Dados DCA'!$E$9:$E$564,$D15,'Dados DCA'!$F$9:$F$564,"transferencias_correntes_total_brutas")=0,"",SUMIFS('Dados DCA'!$L$9:$L$564,'Dados DCA'!$C$9:$C$564,$C15,'Dados DCA'!$E$9:$E$564,$D15,'Dados DCA'!$F$9:$F$564,"transferencias_correntes_total_brutas"))</f>
        <v>157389365.75</v>
      </c>
      <c r="P15" s="6" t="n">
        <f aca="false">IF(COUNTIFS('Dados DCA'!$C$9:$C$564,$C15,'Dados DCA'!$E$9:$E$564,$D15,'Dados DCA'!$F$9:$F$564,"transferencias_intergov_correntes_proxy")=0,"",SUMIFS('Dados DCA'!$L$9:$L$564,'Dados DCA'!$C$9:$C$564,$C15,'Dados DCA'!$E$9:$E$564,$D15,'Dados DCA'!$F$9:$F$564,"transferencias_intergov_correntes_proxy"))</f>
        <v>121317394.82</v>
      </c>
      <c r="Q15" s="19" t="n">
        <f aca="false">IF(COUNTIFS('Dados IBGE'!$C$9:$C$164,$C15,'Dados IBGE'!$E$9:$E$164,$D15,'Dados IBGE'!$G$9:$G$164,"pop_censo")&gt;0,SUMIFS('Dados IBGE'!$J$9:$J$164,'Dados IBGE'!$C$9:$C$164,$C15,'Dados IBGE'!$E$9:$E$164,$D15,'Dados IBGE'!$G$9:$G$164,"pop_censo"),IF(COUNTIFS('Dados IBGE'!$C$9:$C$164,$C15,'Dados IBGE'!$E$9:$E$164,$D15,'Dados IBGE'!$G$9:$G$164,"pop_estimada")=0,"",SUMIFS('Dados IBGE'!$J$9:$J$164,'Dados IBGE'!$C$9:$C$164,$C15,'Dados IBGE'!$E$9:$E$164,$D15,'Dados IBGE'!$G$9:$G$164,"pop_estimada")))</f>
        <v>75295</v>
      </c>
      <c r="R15" s="6" t="n">
        <f aca="false">IF(COUNTIFS('Dados IBGE'!$C$9:$C$164,$C15,'Dados IBGE'!$E$9:$E$164,$D15,'Dados IBGE'!$G$9:$G$164,"pib")=0,"",SUMIFS('Dados IBGE'!$J$9:$J$164,'Dados IBGE'!$C$9:$C$164,$C15,'Dados IBGE'!$E$9:$E$164,$D15,'Dados IBGE'!$G$9:$G$164,"pib")*1000)</f>
        <v>1215383000</v>
      </c>
      <c r="S15" s="20" t="n">
        <f aca="false">IF(COUNTIFS('Dados IBGE'!$E$9:$E$164,$D15,'Dados IBGE'!$G$9:$G$164,"ipca")&lt;&gt;12,"",SUMIFS('Dados IBGE'!$J$9:$J$164,'Dados IBGE'!$E$9:$E$164,$D15,'Dados IBGE'!$G$9:$G$164,"ipca")/12)</f>
        <v>5827.78</v>
      </c>
      <c r="T15" s="20" t="n">
        <f aca="false">IF(OR(S15="",S15=0),"",AVERAGEIFS('Dados IBGE'!$J$9:$J$164,'Dados IBGE'!$E$9:$E$164,2024,'Dados IBGE'!$G$9:$G$164,"ipca")/S15)</f>
        <v>1.19291965951586</v>
      </c>
      <c r="U15" s="18" t="n">
        <f aca="false">IF(OR(E15="",T15=""),"",E15*T15)</f>
        <v>257689686.836978</v>
      </c>
      <c r="V15" s="18" t="n">
        <f aca="false">IF(OR(I15="",T15=""),"",I15*T15)</f>
        <v>238013624.89249</v>
      </c>
      <c r="W15" s="18" t="n">
        <f aca="false">IF(OR(Q15="",Q15=0,U15=""),"",U15/Q15)</f>
        <v>3422.40104704135</v>
      </c>
      <c r="X15" s="18" t="n">
        <f aca="false">IF(OR(Q15="",Q15=0,V15=""),"",V15/Q15)</f>
        <v>3161.08141168059</v>
      </c>
      <c r="Y15" s="21" t="n">
        <f aca="false">IF(OR(E15="",E15=0,N15=""),"",N15/E15)</f>
        <v>0.114712310872464</v>
      </c>
      <c r="Z15" s="21" t="n">
        <f aca="false">IF(OR(E15="",E15=0,O15=""),"",O15/E15)</f>
        <v>0.728600631660842</v>
      </c>
      <c r="AA15" s="21" t="n">
        <f aca="false">IF(OR(R15="",R15=0,E15=""),"",E15/R15)</f>
        <v>0.177734887817256</v>
      </c>
      <c r="AB15" s="21" t="n">
        <f aca="false">IF(OR(R15="",R15=0,I15=""),"",I15/R15)</f>
        <v>0.164163826028503</v>
      </c>
      <c r="AC15" s="6" t="n">
        <f aca="false">IF(COUNTIFS('Dados DCA'!$C$9:$C$564,$C15,'Dados DCA'!$E$9:$E$564,$D15,'Dados DCA'!$F$9:$F$564,"receita_exceto_intra_bruta")=0,"",SUMIFS('Dados DCA'!$L$9:$L$564,'Dados DCA'!$C$9:$C$564,$C15,'Dados DCA'!$E$9:$E$564,$D15,'Dados DCA'!$F$9:$F$564,"receita_exceto_intra_bruta"))</f>
        <v>207699561.75</v>
      </c>
      <c r="AD15" s="6" t="n">
        <f aca="false">IF(COUNTIFS('Dados DCA'!$C$9:$C$564,$C15,'Dados DCA'!$E$9:$E$564,$D15,'Dados DCA'!$F$9:$F$564,"receita_intra_bruta")=0,"",SUMIFS('Dados DCA'!$L$9:$L$564,'Dados DCA'!$C$9:$C$564,$C15,'Dados DCA'!$E$9:$E$564,$D15,'Dados DCA'!$F$9:$F$564,"receita_intra_bruta"))</f>
        <v>8316399.41</v>
      </c>
    </row>
    <row r="16" customFormat="false" ht="15" hidden="false" customHeight="false" outlineLevel="0" collapsed="false">
      <c r="C16" s="12" t="s">
        <v>5</v>
      </c>
      <c r="D16" s="13" t="n">
        <v>2022</v>
      </c>
      <c r="E16" s="6" t="n">
        <f aca="false">IF(COUNTIFS('Dados DCA'!$C$9:$C$564,$C16,'Dados DCA'!$E$9:$E$564,$D16,'Dados DCA'!$F$9:$F$564,"receita_total_bruta")=0,"",SUMIFS('Dados DCA'!$L$9:$L$564,'Dados DCA'!$C$9:$C$564,$C16,'Dados DCA'!$E$9:$E$564,$D16,'Dados DCA'!$F$9:$F$564,"receita_total_bruta"))</f>
        <v>258385595.31</v>
      </c>
      <c r="F16" s="6" t="n">
        <f aca="false">IF(COUNTIFS('Dados DCA'!$C$9:$C$564,$C16,'Dados DCA'!$E$9:$E$564,$D16,'Dados DCA'!$F$9:$F$564,"deducao_fundeb")=0,"",ABS(SUMIFS('Dados DCA'!$L$9:$L$564,'Dados DCA'!$C$9:$C$564,$C16,'Dados DCA'!$E$9:$E$564,$D16,'Dados DCA'!$F$9:$F$564,"deducao_fundeb")))</f>
        <v>19049128.79</v>
      </c>
      <c r="G16" s="6" t="n">
        <f aca="false">IF(COUNTIFS('Dados DCA'!$C$9:$C$564,$C16,'Dados DCA'!$E$9:$E$564,$D16,'Dados DCA'!$F$9:$F$564,"outras_deducoes")=0,"",ABS(SUMIFS('Dados DCA'!$L$9:$L$564,'Dados DCA'!$C$9:$C$564,$C16,'Dados DCA'!$E$9:$E$564,$D16,'Dados DCA'!$F$9:$F$564,"outras_deducoes")))</f>
        <v>1294.17</v>
      </c>
      <c r="H16" s="18" t="n">
        <f aca="false">IF(OR(E16="",F16=""),"",E16-F16-IF(G16="",0,G16))</f>
        <v>239335172.35</v>
      </c>
      <c r="I16" s="6" t="n">
        <f aca="false">IF(COUNTIFS('Dados DCA'!$C$9:$C$564,$C16,'Dados DCA'!$E$9:$E$564,$D16,'Dados DCA'!$F$9:$F$564,"despesa_empenhada_total")=0,"",SUMIFS('Dados DCA'!$L$9:$L$564,'Dados DCA'!$C$9:$C$564,$C16,'Dados DCA'!$E$9:$E$564,$D16,'Dados DCA'!$F$9:$F$564,"despesa_empenhada_total"))</f>
        <v>238057728.87</v>
      </c>
      <c r="J16" s="6" t="n">
        <f aca="false">IF(COUNTIFS('Dados DCA'!$C$9:$C$564,$C16,'Dados DCA'!$E$9:$E$564,$D16,'Dados DCA'!$F$9:$F$564,"despesa_liquidada_total")=0,"",SUMIFS('Dados DCA'!$L$9:$L$564,'Dados DCA'!$C$9:$C$564,$C16,'Dados DCA'!$E$9:$E$564,$D16,'Dados DCA'!$F$9:$F$564,"despesa_liquidada_total"))</f>
        <v>238057728.87</v>
      </c>
      <c r="K16" s="6" t="n">
        <f aca="false">IF(COUNTIFS('Dados DCA'!$C$9:$C$564,$C16,'Dados DCA'!$E$9:$E$564,$D16,'Dados DCA'!$F$9:$F$564,"despesa_paga_total")=0,"",SUMIFS('Dados DCA'!$L$9:$L$564,'Dados DCA'!$C$9:$C$564,$C16,'Dados DCA'!$E$9:$E$564,$D16,'Dados DCA'!$F$9:$F$564,"despesa_paga_total"))</f>
        <v>230890139.27</v>
      </c>
      <c r="L16" s="6" t="n">
        <f aca="false">IF(COUNTIFS('Dados DCA'!$C$9:$C$564,$C16,'Dados DCA'!$E$9:$E$564,$D16,'Dados DCA'!$F$9:$F$564,"despesa_empenhada_exceto_intra")=0,"",SUMIFS('Dados DCA'!$L$9:$L$564,'Dados DCA'!$C$9:$C$564,$C16,'Dados DCA'!$E$9:$E$564,$D16,'Dados DCA'!$F$9:$F$564,"despesa_empenhada_exceto_intra"))</f>
        <v>227426418.66</v>
      </c>
      <c r="M16" s="18" t="n">
        <f aca="false">IF(OR(I16="",L16=""),"",I16-L16)</f>
        <v>10631310.21</v>
      </c>
      <c r="N16" s="6" t="n">
        <f aca="false">IF(COUNTIFS('Dados DCA'!$C$9:$C$564,$C16,'Dados DCA'!$E$9:$E$564,$D16,'Dados DCA'!$F$9:$F$564,"receita_tributaria_propria_bruta")=0,"",SUMIFS('Dados DCA'!$L$9:$L$564,'Dados DCA'!$C$9:$C$564,$C16,'Dados DCA'!$E$9:$E$564,$D16,'Dados DCA'!$F$9:$F$564,"receita_tributaria_propria_bruta"))</f>
        <v>27354130.63</v>
      </c>
      <c r="O16" s="6" t="n">
        <f aca="false">IF(COUNTIFS('Dados DCA'!$C$9:$C$564,$C16,'Dados DCA'!$E$9:$E$564,$D16,'Dados DCA'!$F$9:$F$564,"transferencias_correntes_total_brutas")=0,"",SUMIFS('Dados DCA'!$L$9:$L$564,'Dados DCA'!$C$9:$C$564,$C16,'Dados DCA'!$E$9:$E$564,$D16,'Dados DCA'!$F$9:$F$564,"transferencias_correntes_total_brutas"))</f>
        <v>186610824.16</v>
      </c>
      <c r="P16" s="6" t="n">
        <f aca="false">IF(COUNTIFS('Dados DCA'!$C$9:$C$564,$C16,'Dados DCA'!$E$9:$E$564,$D16,'Dados DCA'!$F$9:$F$564,"transferencias_intergov_correntes_proxy")=0,"",SUMIFS('Dados DCA'!$L$9:$L$564,'Dados DCA'!$C$9:$C$564,$C16,'Dados DCA'!$E$9:$E$564,$D16,'Dados DCA'!$F$9:$F$564,"transferencias_intergov_correntes_proxy"))</f>
        <v>147971929.4</v>
      </c>
      <c r="Q16" s="19" t="n">
        <f aca="false">IF(COUNTIFS('Dados IBGE'!$C$9:$C$164,$C16,'Dados IBGE'!$E$9:$E$164,$D16,'Dados IBGE'!$G$9:$G$164,"pop_censo")&gt;0,SUMIFS('Dados IBGE'!$J$9:$J$164,'Dados IBGE'!$C$9:$C$164,$C16,'Dados IBGE'!$E$9:$E$164,$D16,'Dados IBGE'!$G$9:$G$164,"pop_censo"),IF(COUNTIFS('Dados IBGE'!$C$9:$C$164,$C16,'Dados IBGE'!$E$9:$E$164,$D16,'Dados IBGE'!$G$9:$G$164,"pop_estimada")=0,"",SUMIFS('Dados IBGE'!$J$9:$J$164,'Dados IBGE'!$C$9:$C$164,$C16,'Dados IBGE'!$E$9:$E$164,$D16,'Dados IBGE'!$G$9:$G$164,"pop_estimada")))</f>
        <v>77742</v>
      </c>
      <c r="R16" s="6" t="n">
        <f aca="false">IF(COUNTIFS('Dados IBGE'!$C$9:$C$164,$C16,'Dados IBGE'!$E$9:$E$164,$D16,'Dados IBGE'!$G$9:$G$164,"pib")=0,"",SUMIFS('Dados IBGE'!$J$9:$J$164,'Dados IBGE'!$C$9:$C$164,$C16,'Dados IBGE'!$E$9:$E$164,$D16,'Dados IBGE'!$G$9:$G$164,"pib")*1000)</f>
        <v>1360082000</v>
      </c>
      <c r="S16" s="20" t="n">
        <f aca="false">IF(COUNTIFS('Dados IBGE'!$E$9:$E$164,$D16,'Dados IBGE'!$G$9:$G$164,"ipca")&lt;&gt;12,"",SUMIFS('Dados IBGE'!$J$9:$J$164,'Dados IBGE'!$E$9:$E$164,$D16,'Dados IBGE'!$G$9:$G$164,"ipca")/12)</f>
        <v>6368.60416666667</v>
      </c>
      <c r="T16" s="20" t="n">
        <f aca="false">IF(OR(S16="",S16=0),"",AVERAGEIFS('Dados IBGE'!$J$9:$J$164,'Dados IBGE'!$E$9:$E$164,2024,'Dados IBGE'!$G$9:$G$164,"ipca")/S16)</f>
        <v>1.09161649105475</v>
      </c>
      <c r="U16" s="18" t="n">
        <f aca="false">IF(OR(E16="",T16=""),"",E16*T16)</f>
        <v>282057976.891395</v>
      </c>
      <c r="V16" s="18" t="n">
        <f aca="false">IF(OR(I16="",T16=""),"",I16*T16)</f>
        <v>259867742.657533</v>
      </c>
      <c r="W16" s="18" t="n">
        <f aca="false">IF(OR(Q16="",Q16=0,U16=""),"",U16/Q16)</f>
        <v>3628.12864206472</v>
      </c>
      <c r="X16" s="18" t="n">
        <f aca="false">IF(OR(Q16="",Q16=0,V16=""),"",V16/Q16)</f>
        <v>3342.69433070326</v>
      </c>
      <c r="Y16" s="21" t="n">
        <f aca="false">IF(OR(E16="",E16=0,N16=""),"",N16/E16)</f>
        <v>0.105865540210094</v>
      </c>
      <c r="Z16" s="21" t="n">
        <f aca="false">IF(OR(E16="",E16=0,O16=""),"",O16/E16)</f>
        <v>0.72221837264617</v>
      </c>
      <c r="AA16" s="21" t="n">
        <f aca="false">IF(OR(R16="",R16=0,E16=""),"",E16/R16)</f>
        <v>0.189977953763082</v>
      </c>
      <c r="AB16" s="21" t="n">
        <f aca="false">IF(OR(R16="",R16=0,I16=""),"",I16/R16)</f>
        <v>0.175031894304902</v>
      </c>
      <c r="AC16" s="6" t="n">
        <f aca="false">IF(COUNTIFS('Dados DCA'!$C$9:$C$564,$C16,'Dados DCA'!$E$9:$E$564,$D16,'Dados DCA'!$F$9:$F$564,"receita_exceto_intra_bruta")=0,"",SUMIFS('Dados DCA'!$L$9:$L$564,'Dados DCA'!$C$9:$C$564,$C16,'Dados DCA'!$E$9:$E$564,$D16,'Dados DCA'!$F$9:$F$564,"receita_exceto_intra_bruta"))</f>
        <v>247951324.61</v>
      </c>
      <c r="AD16" s="6" t="n">
        <f aca="false">IF(COUNTIFS('Dados DCA'!$C$9:$C$564,$C16,'Dados DCA'!$E$9:$E$564,$D16,'Dados DCA'!$F$9:$F$564,"receita_intra_bruta")=0,"",SUMIFS('Dados DCA'!$L$9:$L$564,'Dados DCA'!$C$9:$C$564,$C16,'Dados DCA'!$E$9:$E$564,$D16,'Dados DCA'!$F$9:$F$564,"receita_intra_bruta"))</f>
        <v>10434270.7</v>
      </c>
    </row>
    <row r="17" customFormat="false" ht="15" hidden="false" customHeight="false" outlineLevel="0" collapsed="false">
      <c r="C17" s="12" t="s">
        <v>5</v>
      </c>
      <c r="D17" s="13" t="n">
        <v>2023</v>
      </c>
      <c r="E17" s="6" t="n">
        <f aca="false">IF(COUNTIFS('Dados DCA'!$C$9:$C$564,$C17,'Dados DCA'!$E$9:$E$564,$D17,'Dados DCA'!$F$9:$F$564,"receita_total_bruta")=0,"",SUMIFS('Dados DCA'!$L$9:$L$564,'Dados DCA'!$C$9:$C$564,$C17,'Dados DCA'!$E$9:$E$564,$D17,'Dados DCA'!$F$9:$F$564,"receita_total_bruta"))</f>
        <v>280606346.35</v>
      </c>
      <c r="F17" s="6" t="n">
        <f aca="false">IF(COUNTIFS('Dados DCA'!$C$9:$C$564,$C17,'Dados DCA'!$E$9:$E$564,$D17,'Dados DCA'!$F$9:$F$564,"deducao_fundeb")=0,"",ABS(SUMIFS('Dados DCA'!$L$9:$L$564,'Dados DCA'!$C$9:$C$564,$C17,'Dados DCA'!$E$9:$E$564,$D17,'Dados DCA'!$F$9:$F$564,"deducao_fundeb")))</f>
        <v>19179796.04</v>
      </c>
      <c r="G17" s="6" t="n">
        <f aca="false">IF(COUNTIFS('Dados DCA'!$C$9:$C$564,$C17,'Dados DCA'!$E$9:$E$564,$D17,'Dados DCA'!$F$9:$F$564,"outras_deducoes")=0,"",ABS(SUMIFS('Dados DCA'!$L$9:$L$564,'Dados DCA'!$C$9:$C$564,$C17,'Dados DCA'!$E$9:$E$564,$D17,'Dados DCA'!$F$9:$F$564,"outras_deducoes")))</f>
        <v>795879.78</v>
      </c>
      <c r="H17" s="18" t="n">
        <f aca="false">IF(OR(E17="",F17=""),"",E17-F17-IF(G17="",0,G17))</f>
        <v>260630670.53</v>
      </c>
      <c r="I17" s="6" t="n">
        <f aca="false">IF(COUNTIFS('Dados DCA'!$C$9:$C$564,$C17,'Dados DCA'!$E$9:$E$564,$D17,'Dados DCA'!$F$9:$F$564,"despesa_empenhada_total")=0,"",SUMIFS('Dados DCA'!$L$9:$L$564,'Dados DCA'!$C$9:$C$564,$C17,'Dados DCA'!$E$9:$E$564,$D17,'Dados DCA'!$F$9:$F$564,"despesa_empenhada_total"))</f>
        <v>269469223.81</v>
      </c>
      <c r="J17" s="6" t="n">
        <f aca="false">IF(COUNTIFS('Dados DCA'!$C$9:$C$564,$C17,'Dados DCA'!$E$9:$E$564,$D17,'Dados DCA'!$F$9:$F$564,"despesa_liquidada_total")=0,"",SUMIFS('Dados DCA'!$L$9:$L$564,'Dados DCA'!$C$9:$C$564,$C17,'Dados DCA'!$E$9:$E$564,$D17,'Dados DCA'!$F$9:$F$564,"despesa_liquidada_total"))</f>
        <v>269469223.81</v>
      </c>
      <c r="K17" s="6" t="n">
        <f aca="false">IF(COUNTIFS('Dados DCA'!$C$9:$C$564,$C17,'Dados DCA'!$E$9:$E$564,$D17,'Dados DCA'!$F$9:$F$564,"despesa_paga_total")=0,"",SUMIFS('Dados DCA'!$L$9:$L$564,'Dados DCA'!$C$9:$C$564,$C17,'Dados DCA'!$E$9:$E$564,$D17,'Dados DCA'!$F$9:$F$564,"despesa_paga_total"))</f>
        <v>261892124.03</v>
      </c>
      <c r="L17" s="6" t="n">
        <f aca="false">IF(COUNTIFS('Dados DCA'!$C$9:$C$564,$C17,'Dados DCA'!$E$9:$E$564,$D17,'Dados DCA'!$F$9:$F$564,"despesa_empenhada_exceto_intra")=0,"",SUMIFS('Dados DCA'!$L$9:$L$564,'Dados DCA'!$C$9:$C$564,$C17,'Dados DCA'!$E$9:$E$564,$D17,'Dados DCA'!$F$9:$F$564,"despesa_empenhada_exceto_intra"))</f>
        <v>259207492.71</v>
      </c>
      <c r="M17" s="18" t="n">
        <f aca="false">IF(OR(I17="",L17=""),"",I17-L17)</f>
        <v>10261731.1</v>
      </c>
      <c r="N17" s="6" t="n">
        <f aca="false">IF(COUNTIFS('Dados DCA'!$C$9:$C$564,$C17,'Dados DCA'!$E$9:$E$564,$D17,'Dados DCA'!$F$9:$F$564,"receita_tributaria_propria_bruta")=0,"",SUMIFS('Dados DCA'!$L$9:$L$564,'Dados DCA'!$C$9:$C$564,$C17,'Dados DCA'!$E$9:$E$564,$D17,'Dados DCA'!$F$9:$F$564,"receita_tributaria_propria_bruta"))</f>
        <v>29430463.83</v>
      </c>
      <c r="O17" s="6" t="n">
        <f aca="false">IF(COUNTIFS('Dados DCA'!$C$9:$C$564,$C17,'Dados DCA'!$E$9:$E$564,$D17,'Dados DCA'!$F$9:$F$564,"transferencias_correntes_total_brutas")=0,"",SUMIFS('Dados DCA'!$L$9:$L$564,'Dados DCA'!$C$9:$C$564,$C17,'Dados DCA'!$E$9:$E$564,$D17,'Dados DCA'!$F$9:$F$564,"transferencias_correntes_total_brutas"))</f>
        <v>199385225.86</v>
      </c>
      <c r="P17" s="6" t="n">
        <f aca="false">IF(COUNTIFS('Dados DCA'!$C$9:$C$564,$C17,'Dados DCA'!$E$9:$E$564,$D17,'Dados DCA'!$F$9:$F$564,"transferencias_intergov_correntes_proxy")=0,"",SUMIFS('Dados DCA'!$L$9:$L$564,'Dados DCA'!$C$9:$C$564,$C17,'Dados DCA'!$E$9:$E$564,$D17,'Dados DCA'!$F$9:$F$564,"transferencias_intergov_correntes_proxy"))</f>
        <v>159091271.6</v>
      </c>
      <c r="Q17" s="19" t="str">
        <f aca="false">IF(COUNTIFS('Dados IBGE'!$C$9:$C$164,$C17,'Dados IBGE'!$E$9:$E$164,$D17,'Dados IBGE'!$G$9:$G$164,"pop_censo")&gt;0,SUMIFS('Dados IBGE'!$J$9:$J$164,'Dados IBGE'!$C$9:$C$164,$C17,'Dados IBGE'!$E$9:$E$164,$D17,'Dados IBGE'!$G$9:$G$164,"pop_censo"),IF(COUNTIFS('Dados IBGE'!$C$9:$C$164,$C17,'Dados IBGE'!$E$9:$E$164,$D17,'Dados IBGE'!$G$9:$G$164,"pop_estimada")=0,"",SUMIFS('Dados IBGE'!$J$9:$J$164,'Dados IBGE'!$C$9:$C$164,$C17,'Dados IBGE'!$E$9:$E$164,$D17,'Dados IBGE'!$G$9:$G$164,"pop_estimada")))</f>
        <v/>
      </c>
      <c r="R17" s="6" t="n">
        <f aca="false">IF(COUNTIFS('Dados IBGE'!$C$9:$C$164,$C17,'Dados IBGE'!$E$9:$E$164,$D17,'Dados IBGE'!$G$9:$G$164,"pib")=0,"",SUMIFS('Dados IBGE'!$J$9:$J$164,'Dados IBGE'!$C$9:$C$164,$C17,'Dados IBGE'!$E$9:$E$164,$D17,'Dados IBGE'!$G$9:$G$164,"pib")*1000)</f>
        <v>1503621000</v>
      </c>
      <c r="S17" s="20" t="n">
        <f aca="false">IF(COUNTIFS('Dados IBGE'!$E$9:$E$164,$D17,'Dados IBGE'!$G$9:$G$164,"ipca")&lt;&gt;12,"",SUMIFS('Dados IBGE'!$J$9:$J$164,'Dados IBGE'!$E$9:$E$164,$D17,'Dados IBGE'!$G$9:$G$164,"ipca")/12)</f>
        <v>6661.15</v>
      </c>
      <c r="T17" s="20" t="n">
        <f aca="false">IF(OR(S17="",S17=0),"",AVERAGEIFS('Dados IBGE'!$J$9:$J$164,'Dados IBGE'!$E$9:$E$164,2024,'Dados IBGE'!$G$9:$G$164,"ipca")/S17)</f>
        <v>1.04367464076523</v>
      </c>
      <c r="U17" s="18" t="n">
        <f aca="false">IF(OR(E17="",T17=""),"",E17*T17)</f>
        <v>292861727.723281</v>
      </c>
      <c r="V17" s="18" t="n">
        <f aca="false">IF(OR(I17="",T17=""),"",I17*T17)</f>
        <v>281238195.357188</v>
      </c>
      <c r="W17" s="18" t="str">
        <f aca="false">IF(OR(Q17="",Q17=0,U17=""),"",U17/Q17)</f>
        <v/>
      </c>
      <c r="X17" s="18" t="str">
        <f aca="false">IF(OR(Q17="",Q17=0,V17=""),"",V17/Q17)</f>
        <v/>
      </c>
      <c r="Y17" s="21" t="n">
        <f aca="false">IF(OR(E17="",E17=0,N17=""),"",N17/E17)</f>
        <v>0.104881675745464</v>
      </c>
      <c r="Z17" s="21" t="n">
        <f aca="false">IF(OR(E17="",E17=0,O17=""),"",O17/E17)</f>
        <v>0.710551377235449</v>
      </c>
      <c r="AA17" s="21" t="n">
        <f aca="false">IF(OR(R17="",R17=0,E17=""),"",E17/R17)</f>
        <v>0.18662039593089</v>
      </c>
      <c r="AB17" s="21" t="n">
        <f aca="false">IF(OR(R17="",R17=0,I17=""),"",I17/R17)</f>
        <v>0.179213527750677</v>
      </c>
      <c r="AC17" s="6" t="n">
        <f aca="false">IF(COUNTIFS('Dados DCA'!$C$9:$C$564,$C17,'Dados DCA'!$E$9:$E$564,$D17,'Dados DCA'!$F$9:$F$564,"receita_exceto_intra_bruta")=0,"",SUMIFS('Dados DCA'!$L$9:$L$564,'Dados DCA'!$C$9:$C$564,$C17,'Dados DCA'!$E$9:$E$564,$D17,'Dados DCA'!$F$9:$F$564,"receita_exceto_intra_bruta"))</f>
        <v>270843964.91</v>
      </c>
      <c r="AD17" s="6" t="n">
        <f aca="false">IF(COUNTIFS('Dados DCA'!$C$9:$C$564,$C17,'Dados DCA'!$E$9:$E$564,$D17,'Dados DCA'!$F$9:$F$564,"receita_intra_bruta")=0,"",SUMIFS('Dados DCA'!$L$9:$L$564,'Dados DCA'!$C$9:$C$564,$C17,'Dados DCA'!$E$9:$E$564,$D17,'Dados DCA'!$F$9:$F$564,"receita_intra_bruta"))</f>
        <v>9762381.44</v>
      </c>
    </row>
    <row r="18" customFormat="false" ht="15" hidden="false" customHeight="false" outlineLevel="0" collapsed="false">
      <c r="C18" s="12" t="s">
        <v>5</v>
      </c>
      <c r="D18" s="13" t="n">
        <v>2024</v>
      </c>
      <c r="E18" s="6" t="n">
        <f aca="false">IF(COUNTIFS('Dados DCA'!$C$9:$C$564,$C18,'Dados DCA'!$E$9:$E$564,$D18,'Dados DCA'!$F$9:$F$564,"receita_total_bruta")=0,"",SUMIFS('Dados DCA'!$L$9:$L$564,'Dados DCA'!$C$9:$C$564,$C18,'Dados DCA'!$E$9:$E$564,$D18,'Dados DCA'!$F$9:$F$564,"receita_total_bruta"))</f>
        <v>338825647.94</v>
      </c>
      <c r="F18" s="6" t="n">
        <f aca="false">IF(COUNTIFS('Dados DCA'!$C$9:$C$564,$C18,'Dados DCA'!$E$9:$E$564,$D18,'Dados DCA'!$F$9:$F$564,"deducao_fundeb")=0,"",ABS(SUMIFS('Dados DCA'!$L$9:$L$564,'Dados DCA'!$C$9:$C$564,$C18,'Dados DCA'!$E$9:$E$564,$D18,'Dados DCA'!$F$9:$F$564,"deducao_fundeb")))</f>
        <v>21887725.46</v>
      </c>
      <c r="G18" s="6" t="n">
        <f aca="false">IF(COUNTIFS('Dados DCA'!$C$9:$C$564,$C18,'Dados DCA'!$E$9:$E$564,$D18,'Dados DCA'!$F$9:$F$564,"outras_deducoes")=0,"",ABS(SUMIFS('Dados DCA'!$L$9:$L$564,'Dados DCA'!$C$9:$C$564,$C18,'Dados DCA'!$E$9:$E$564,$D18,'Dados DCA'!$F$9:$F$564,"outras_deducoes")))</f>
        <v>27457.17</v>
      </c>
      <c r="H18" s="18" t="n">
        <f aca="false">IF(OR(E18="",F18=""),"",E18-F18-IF(G18="",0,G18))</f>
        <v>316910465.31</v>
      </c>
      <c r="I18" s="6" t="n">
        <f aca="false">IF(COUNTIFS('Dados DCA'!$C$9:$C$564,$C18,'Dados DCA'!$E$9:$E$564,$D18,'Dados DCA'!$F$9:$F$564,"despesa_empenhada_total")=0,"",SUMIFS('Dados DCA'!$L$9:$L$564,'Dados DCA'!$C$9:$C$564,$C18,'Dados DCA'!$E$9:$E$564,$D18,'Dados DCA'!$F$9:$F$564,"despesa_empenhada_total"))</f>
        <v>317259552.36</v>
      </c>
      <c r="J18" s="6" t="n">
        <f aca="false">IF(COUNTIFS('Dados DCA'!$C$9:$C$564,$C18,'Dados DCA'!$E$9:$E$564,$D18,'Dados DCA'!$F$9:$F$564,"despesa_liquidada_total")=0,"",SUMIFS('Dados DCA'!$L$9:$L$564,'Dados DCA'!$C$9:$C$564,$C18,'Dados DCA'!$E$9:$E$564,$D18,'Dados DCA'!$F$9:$F$564,"despesa_liquidada_total"))</f>
        <v>317254974.66</v>
      </c>
      <c r="K18" s="6" t="n">
        <f aca="false">IF(COUNTIFS('Dados DCA'!$C$9:$C$564,$C18,'Dados DCA'!$E$9:$E$564,$D18,'Dados DCA'!$F$9:$F$564,"despesa_paga_total")=0,"",SUMIFS('Dados DCA'!$L$9:$L$564,'Dados DCA'!$C$9:$C$564,$C18,'Dados DCA'!$E$9:$E$564,$D18,'Dados DCA'!$F$9:$F$564,"despesa_paga_total"))</f>
        <v>305808332.8</v>
      </c>
      <c r="L18" s="6" t="n">
        <f aca="false">IF(COUNTIFS('Dados DCA'!$C$9:$C$564,$C18,'Dados DCA'!$E$9:$E$564,$D18,'Dados DCA'!$F$9:$F$564,"despesa_empenhada_exceto_intra")=0,"",SUMIFS('Dados DCA'!$L$9:$L$564,'Dados DCA'!$C$9:$C$564,$C18,'Dados DCA'!$E$9:$E$564,$D18,'Dados DCA'!$F$9:$F$564,"despesa_empenhada_exceto_intra"))</f>
        <v>306654812.31</v>
      </c>
      <c r="M18" s="18" t="n">
        <f aca="false">IF(OR(I18="",L18=""),"",I18-L18)</f>
        <v>10604740.05</v>
      </c>
      <c r="N18" s="6" t="n">
        <f aca="false">IF(COUNTIFS('Dados DCA'!$C$9:$C$564,$C18,'Dados DCA'!$E$9:$E$564,$D18,'Dados DCA'!$F$9:$F$564,"receita_tributaria_propria_bruta")=0,"",SUMIFS('Dados DCA'!$L$9:$L$564,'Dados DCA'!$C$9:$C$564,$C18,'Dados DCA'!$E$9:$E$564,$D18,'Dados DCA'!$F$9:$F$564,"receita_tributaria_propria_bruta"))</f>
        <v>34865348.74</v>
      </c>
      <c r="O18" s="6" t="n">
        <f aca="false">IF(COUNTIFS('Dados DCA'!$C$9:$C$564,$C18,'Dados DCA'!$E$9:$E$564,$D18,'Dados DCA'!$F$9:$F$564,"transferencias_correntes_total_brutas")=0,"",SUMIFS('Dados DCA'!$L$9:$L$564,'Dados DCA'!$C$9:$C$564,$C18,'Dados DCA'!$E$9:$E$564,$D18,'Dados DCA'!$F$9:$F$564,"transferencias_correntes_total_brutas"))</f>
        <v>254135907.7</v>
      </c>
      <c r="P18" s="6" t="n">
        <f aca="false">IF(COUNTIFS('Dados DCA'!$C$9:$C$564,$C18,'Dados DCA'!$E$9:$E$564,$D18,'Dados DCA'!$F$9:$F$564,"transferencias_intergov_correntes_proxy")=0,"",SUMIFS('Dados DCA'!$L$9:$L$564,'Dados DCA'!$C$9:$C$564,$C18,'Dados DCA'!$E$9:$E$564,$D18,'Dados DCA'!$F$9:$F$564,"transferencias_intergov_correntes_proxy"))</f>
        <v>205996762.39</v>
      </c>
      <c r="Q18" s="19" t="n">
        <f aca="false">IF(COUNTIFS('Dados IBGE'!$C$9:$C$164,$C18,'Dados IBGE'!$E$9:$E$164,$D18,'Dados IBGE'!$G$9:$G$164,"pop_censo")&gt;0,SUMIFS('Dados IBGE'!$J$9:$J$164,'Dados IBGE'!$C$9:$C$164,$C18,'Dados IBGE'!$E$9:$E$164,$D18,'Dados IBGE'!$G$9:$G$164,"pop_censo"),IF(COUNTIFS('Dados IBGE'!$C$9:$C$164,$C18,'Dados IBGE'!$E$9:$E$164,$D18,'Dados IBGE'!$G$9:$G$164,"pop_estimada")=0,"",SUMIFS('Dados IBGE'!$J$9:$J$164,'Dados IBGE'!$C$9:$C$164,$C18,'Dados IBGE'!$E$9:$E$164,$D18,'Dados IBGE'!$G$9:$G$164,"pop_estimada")))</f>
        <v>82003</v>
      </c>
      <c r="R18" s="6" t="str">
        <f aca="false">IF(COUNTIFS('Dados IBGE'!$C$9:$C$164,$C18,'Dados IBGE'!$E$9:$E$164,$D18,'Dados IBGE'!$G$9:$G$164,"pib")=0,"",SUMIFS('Dados IBGE'!$J$9:$J$164,'Dados IBGE'!$C$9:$C$164,$C18,'Dados IBGE'!$E$9:$E$164,$D18,'Dados IBGE'!$G$9:$G$164,"pib")*1000)</f>
        <v/>
      </c>
      <c r="S18" s="20" t="n">
        <f aca="false">IF(COUNTIFS('Dados IBGE'!$E$9:$E$164,$D18,'Dados IBGE'!$G$9:$G$164,"ipca")&lt;&gt;12,"",SUMIFS('Dados IBGE'!$J$9:$J$164,'Dados IBGE'!$E$9:$E$164,$D18,'Dados IBGE'!$G$9:$G$164,"ipca")/12)</f>
        <v>6952.07333333333</v>
      </c>
      <c r="T18" s="20" t="n">
        <f aca="false">IF(OR(S18="",S18=0),"",AVERAGEIFS('Dados IBGE'!$J$9:$J$164,'Dados IBGE'!$E$9:$E$164,2024,'Dados IBGE'!$G$9:$G$164,"ipca")/S18)</f>
        <v>1</v>
      </c>
      <c r="U18" s="18" t="n">
        <f aca="false">IF(OR(E18="",T18=""),"",E18*T18)</f>
        <v>338825647.94</v>
      </c>
      <c r="V18" s="18" t="n">
        <f aca="false">IF(OR(I18="",T18=""),"",I18*T18)</f>
        <v>317259552.36</v>
      </c>
      <c r="W18" s="18" t="n">
        <f aca="false">IF(OR(Q18="",Q18=0,U18=""),"",U18/Q18)</f>
        <v>4131.86893089277</v>
      </c>
      <c r="X18" s="18" t="n">
        <f aca="false">IF(OR(Q18="",Q18=0,V18=""),"",V18/Q18)</f>
        <v>3868.87738692487</v>
      </c>
      <c r="Y18" s="21" t="n">
        <f aca="false">IF(OR(E18="",E18=0,N18=""),"",N18/E18)</f>
        <v>0.102900559482363</v>
      </c>
      <c r="Z18" s="21" t="n">
        <f aca="false">IF(OR(E18="",E18=0,O18=""),"",O18/E18)</f>
        <v>0.750049204495295</v>
      </c>
      <c r="AA18" s="21" t="str">
        <f aca="false">IF(OR(R18="",R18=0,E18=""),"",E18/R18)</f>
        <v/>
      </c>
      <c r="AB18" s="21" t="str">
        <f aca="false">IF(OR(R18="",R18=0,I18=""),"",I18/R18)</f>
        <v/>
      </c>
      <c r="AC18" s="6" t="n">
        <f aca="false">IF(COUNTIFS('Dados DCA'!$C$9:$C$564,$C18,'Dados DCA'!$E$9:$E$564,$D18,'Dados DCA'!$F$9:$F$564,"receita_exceto_intra_bruta")=0,"",SUMIFS('Dados DCA'!$L$9:$L$564,'Dados DCA'!$C$9:$C$564,$C18,'Dados DCA'!$E$9:$E$564,$D18,'Dados DCA'!$F$9:$F$564,"receita_exceto_intra_bruta"))</f>
        <v>327484071</v>
      </c>
      <c r="AD18" s="6" t="n">
        <f aca="false">IF(COUNTIFS('Dados DCA'!$C$9:$C$564,$C18,'Dados DCA'!$E$9:$E$564,$D18,'Dados DCA'!$F$9:$F$564,"receita_intra_bruta")=0,"",SUMIFS('Dados DCA'!$L$9:$L$564,'Dados DCA'!$C$9:$C$564,$C18,'Dados DCA'!$E$9:$E$564,$D18,'Dados DCA'!$F$9:$F$564,"receita_intra_bruta"))</f>
        <v>11341576.94</v>
      </c>
    </row>
    <row r="19" customFormat="false" ht="15" hidden="false" customHeight="false" outlineLevel="0" collapsed="false">
      <c r="C19" s="12" t="s">
        <v>6</v>
      </c>
      <c r="D19" s="13" t="n">
        <v>2015</v>
      </c>
      <c r="E19" s="6" t="n">
        <f aca="false">IF(COUNTIFS('Dados DCA'!$C$9:$C$564,$C19,'Dados DCA'!$E$9:$E$564,$D19,'Dados DCA'!$F$9:$F$564,"receita_total_bruta")=0,"",SUMIFS('Dados DCA'!$L$9:$L$564,'Dados DCA'!$C$9:$C$564,$C19,'Dados DCA'!$E$9:$E$564,$D19,'Dados DCA'!$F$9:$F$564,"receita_total_bruta"))</f>
        <v>149488959</v>
      </c>
      <c r="F19" s="6" t="n">
        <f aca="false">IF(COUNTIFS('Dados DCA'!$C$9:$C$564,$C19,'Dados DCA'!$E$9:$E$564,$D19,'Dados DCA'!$F$9:$F$564,"deducao_fundeb")=0,"",ABS(SUMIFS('Dados DCA'!$L$9:$L$564,'Dados DCA'!$C$9:$C$564,$C19,'Dados DCA'!$E$9:$E$564,$D19,'Dados DCA'!$F$9:$F$564,"deducao_fundeb")))</f>
        <v>10093009.53</v>
      </c>
      <c r="G19" s="6" t="str">
        <f aca="false">IF(COUNTIFS('Dados DCA'!$C$9:$C$564,$C19,'Dados DCA'!$E$9:$E$564,$D19,'Dados DCA'!$F$9:$F$564,"outras_deducoes")=0,"",ABS(SUMIFS('Dados DCA'!$L$9:$L$564,'Dados DCA'!$C$9:$C$564,$C19,'Dados DCA'!$E$9:$E$564,$D19,'Dados DCA'!$F$9:$F$564,"outras_deducoes")))</f>
        <v/>
      </c>
      <c r="H19" s="18" t="n">
        <f aca="false">IF(OR(E19="",F19=""),"",E19-F19-IF(G19="",0,G19))</f>
        <v>139395949.47</v>
      </c>
      <c r="I19" s="6" t="n">
        <f aca="false">IF(COUNTIFS('Dados DCA'!$C$9:$C$564,$C19,'Dados DCA'!$E$9:$E$564,$D19,'Dados DCA'!$F$9:$F$564,"despesa_empenhada_total")=0,"",SUMIFS('Dados DCA'!$L$9:$L$564,'Dados DCA'!$C$9:$C$564,$C19,'Dados DCA'!$E$9:$E$564,$D19,'Dados DCA'!$F$9:$F$564,"despesa_empenhada_total"))</f>
        <v>140850288.38</v>
      </c>
      <c r="J19" s="6" t="n">
        <f aca="false">IF(COUNTIFS('Dados DCA'!$C$9:$C$564,$C19,'Dados DCA'!$E$9:$E$564,$D19,'Dados DCA'!$F$9:$F$564,"despesa_liquidada_total")=0,"",SUMIFS('Dados DCA'!$L$9:$L$564,'Dados DCA'!$C$9:$C$564,$C19,'Dados DCA'!$E$9:$E$564,$D19,'Dados DCA'!$F$9:$F$564,"despesa_liquidada_total"))</f>
        <v>140661525.17</v>
      </c>
      <c r="K19" s="6" t="n">
        <f aca="false">IF(COUNTIFS('Dados DCA'!$C$9:$C$564,$C19,'Dados DCA'!$E$9:$E$564,$D19,'Dados DCA'!$F$9:$F$564,"despesa_paga_total")=0,"",SUMIFS('Dados DCA'!$L$9:$L$564,'Dados DCA'!$C$9:$C$564,$C19,'Dados DCA'!$E$9:$E$564,$D19,'Dados DCA'!$F$9:$F$564,"despesa_paga_total"))</f>
        <v>135582786.63</v>
      </c>
      <c r="L19" s="6" t="str">
        <f aca="false">IF(COUNTIFS('Dados DCA'!$C$9:$C$564,$C19,'Dados DCA'!$E$9:$E$564,$D19,'Dados DCA'!$F$9:$F$564,"despesa_empenhada_exceto_intra")=0,"",SUMIFS('Dados DCA'!$L$9:$L$564,'Dados DCA'!$C$9:$C$564,$C19,'Dados DCA'!$E$9:$E$564,$D19,'Dados DCA'!$F$9:$F$564,"despesa_empenhada_exceto_intra"))</f>
        <v/>
      </c>
      <c r="M19" s="18" t="str">
        <f aca="false">IF(OR(I19="",L19=""),"",I19-L19)</f>
        <v/>
      </c>
      <c r="N19" s="6" t="n">
        <f aca="false">IF(COUNTIFS('Dados DCA'!$C$9:$C$564,$C19,'Dados DCA'!$E$9:$E$564,$D19,'Dados DCA'!$F$9:$F$564,"receita_tributaria_propria_bruta")=0,"",SUMIFS('Dados DCA'!$L$9:$L$564,'Dados DCA'!$C$9:$C$564,$C19,'Dados DCA'!$E$9:$E$564,$D19,'Dados DCA'!$F$9:$F$564,"receita_tributaria_propria_bruta"))</f>
        <v>6953850.47</v>
      </c>
      <c r="O19" s="6" t="n">
        <f aca="false">IF(COUNTIFS('Dados DCA'!$C$9:$C$564,$C19,'Dados DCA'!$E$9:$E$564,$D19,'Dados DCA'!$F$9:$F$564,"transferencias_correntes_total_brutas")=0,"",SUMIFS('Dados DCA'!$L$9:$L$564,'Dados DCA'!$C$9:$C$564,$C19,'Dados DCA'!$E$9:$E$564,$D19,'Dados DCA'!$F$9:$F$564,"transferencias_correntes_total_brutas"))</f>
        <v>119279955.24</v>
      </c>
      <c r="P19" s="6" t="n">
        <f aca="false">IF(COUNTIFS('Dados DCA'!$C$9:$C$564,$C19,'Dados DCA'!$E$9:$E$564,$D19,'Dados DCA'!$F$9:$F$564,"transferencias_intergov_correntes_proxy")=0,"",SUMIFS('Dados DCA'!$L$9:$L$564,'Dados DCA'!$C$9:$C$564,$C19,'Dados DCA'!$E$9:$E$564,$D19,'Dados DCA'!$F$9:$F$564,"transferencias_intergov_correntes_proxy"))</f>
        <v>119208184.49</v>
      </c>
      <c r="Q19" s="19" t="n">
        <f aca="false">IF(COUNTIFS('Dados IBGE'!$C$9:$C$164,$C19,'Dados IBGE'!$E$9:$E$164,$D19,'Dados IBGE'!$G$9:$G$164,"pop_censo")&gt;0,SUMIFS('Dados IBGE'!$J$9:$J$164,'Dados IBGE'!$C$9:$C$164,$C19,'Dados IBGE'!$E$9:$E$164,$D19,'Dados IBGE'!$G$9:$G$164,"pop_censo"),IF(COUNTIFS('Dados IBGE'!$C$9:$C$164,$C19,'Dados IBGE'!$E$9:$E$164,$D19,'Dados IBGE'!$G$9:$G$164,"pop_estimada")=0,"",SUMIFS('Dados IBGE'!$J$9:$J$164,'Dados IBGE'!$C$9:$C$164,$C19,'Dados IBGE'!$E$9:$E$164,$D19,'Dados IBGE'!$G$9:$G$164,"pop_estimada")))</f>
        <v>82800</v>
      </c>
      <c r="R19" s="6" t="n">
        <f aca="false">IF(COUNTIFS('Dados IBGE'!$C$9:$C$164,$C19,'Dados IBGE'!$E$9:$E$164,$D19,'Dados IBGE'!$G$9:$G$164,"pib")=0,"",SUMIFS('Dados IBGE'!$J$9:$J$164,'Dados IBGE'!$C$9:$C$164,$C19,'Dados IBGE'!$E$9:$E$164,$D19,'Dados IBGE'!$G$9:$G$164,"pib")*1000)</f>
        <v>758157000</v>
      </c>
      <c r="S19" s="20" t="n">
        <f aca="false">IF(COUNTIFS('Dados IBGE'!$E$9:$E$164,$D19,'Dados IBGE'!$G$9:$G$164,"ipca")&lt;&gt;12,"",SUMIFS('Dados IBGE'!$J$9:$J$164,'Dados IBGE'!$E$9:$E$164,$D19,'Dados IBGE'!$G$9:$G$164,"ipca")/12)</f>
        <v>4310.11916666667</v>
      </c>
      <c r="T19" s="20" t="n">
        <f aca="false">IF(OR(S19="",S19=0),"",AVERAGEIFS('Dados IBGE'!$J$9:$J$164,'Dados IBGE'!$E$9:$E$164,2024,'Dados IBGE'!$G$9:$G$164,"ipca")/S19)</f>
        <v>1.61296545745158</v>
      </c>
      <c r="U19" s="18" t="n">
        <f aca="false">IF(OR(E19="",T19=""),"",E19*T19)</f>
        <v>241120527.137396</v>
      </c>
      <c r="V19" s="18" t="n">
        <f aca="false">IF(OR(I19="",T19=""),"",I19*T19)</f>
        <v>227186649.829034</v>
      </c>
      <c r="W19" s="18" t="n">
        <f aca="false">IF(OR(Q19="",Q19=0,U19=""),"",U19/Q19)</f>
        <v>2912.08366107966</v>
      </c>
      <c r="X19" s="18" t="n">
        <f aca="false">IF(OR(Q19="",Q19=0,V19=""),"",V19/Q19)</f>
        <v>2743.80011870814</v>
      </c>
      <c r="Y19" s="21" t="n">
        <f aca="false">IF(OR(E19="",E19=0,N19=""),"",N19/E19)</f>
        <v>0.0465174854150934</v>
      </c>
      <c r="Z19" s="21" t="n">
        <f aca="false">IF(OR(E19="",E19=0,O19=""),"",O19/E19)</f>
        <v>0.797918160899094</v>
      </c>
      <c r="AA19" s="21" t="n">
        <f aca="false">IF(OR(R19="",R19=0,E19=""),"",E19/R19)</f>
        <v>0.197174145988232</v>
      </c>
      <c r="AB19" s="21" t="n">
        <f aca="false">IF(OR(R19="",R19=0,I19=""),"",I19/R19)</f>
        <v>0.185779842934907</v>
      </c>
      <c r="AC19" s="6" t="str">
        <f aca="false">IF(COUNTIFS('Dados DCA'!$C$9:$C$564,$C19,'Dados DCA'!$E$9:$E$564,$D19,'Dados DCA'!$F$9:$F$564,"receita_exceto_intra_bruta")=0,"",SUMIFS('Dados DCA'!$L$9:$L$564,'Dados DCA'!$C$9:$C$564,$C19,'Dados DCA'!$E$9:$E$564,$D19,'Dados DCA'!$F$9:$F$564,"receita_exceto_intra_bruta"))</f>
        <v/>
      </c>
      <c r="AD19" s="6" t="str">
        <f aca="false">IF(COUNTIFS('Dados DCA'!$C$9:$C$564,$C19,'Dados DCA'!$E$9:$E$564,$D19,'Dados DCA'!$F$9:$F$564,"receita_intra_bruta")=0,"",SUMIFS('Dados DCA'!$L$9:$L$564,'Dados DCA'!$C$9:$C$564,$C19,'Dados DCA'!$E$9:$E$564,$D19,'Dados DCA'!$F$9:$F$564,"receita_intra_bruta"))</f>
        <v/>
      </c>
    </row>
    <row r="20" customFormat="false" ht="15" hidden="false" customHeight="false" outlineLevel="0" collapsed="false">
      <c r="C20" s="12" t="s">
        <v>6</v>
      </c>
      <c r="D20" s="13" t="n">
        <v>2016</v>
      </c>
      <c r="E20" s="6" t="n">
        <f aca="false">IF(COUNTIFS('Dados DCA'!$C$9:$C$564,$C20,'Dados DCA'!$E$9:$E$564,$D20,'Dados DCA'!$F$9:$F$564,"receita_total_bruta")=0,"",SUMIFS('Dados DCA'!$L$9:$L$564,'Dados DCA'!$C$9:$C$564,$C20,'Dados DCA'!$E$9:$E$564,$D20,'Dados DCA'!$F$9:$F$564,"receita_total_bruta"))</f>
        <v>153010571.68</v>
      </c>
      <c r="F20" s="6" t="n">
        <f aca="false">IF(COUNTIFS('Dados DCA'!$C$9:$C$564,$C20,'Dados DCA'!$E$9:$E$564,$D20,'Dados DCA'!$F$9:$F$564,"deducao_fundeb")=0,"",ABS(SUMIFS('Dados DCA'!$L$9:$L$564,'Dados DCA'!$C$9:$C$564,$C20,'Dados DCA'!$E$9:$E$564,$D20,'Dados DCA'!$F$9:$F$564,"deducao_fundeb")))</f>
        <v>11321945.19</v>
      </c>
      <c r="G20" s="6" t="str">
        <f aca="false">IF(COUNTIFS('Dados DCA'!$C$9:$C$564,$C20,'Dados DCA'!$E$9:$E$564,$D20,'Dados DCA'!$F$9:$F$564,"outras_deducoes")=0,"",ABS(SUMIFS('Dados DCA'!$L$9:$L$564,'Dados DCA'!$C$9:$C$564,$C20,'Dados DCA'!$E$9:$E$564,$D20,'Dados DCA'!$F$9:$F$564,"outras_deducoes")))</f>
        <v/>
      </c>
      <c r="H20" s="18" t="n">
        <f aca="false">IF(OR(E20="",F20=""),"",E20-F20-IF(G20="",0,G20))</f>
        <v>141688626.49</v>
      </c>
      <c r="I20" s="6" t="n">
        <f aca="false">IF(COUNTIFS('Dados DCA'!$C$9:$C$564,$C20,'Dados DCA'!$E$9:$E$564,$D20,'Dados DCA'!$F$9:$F$564,"despesa_empenhada_total")=0,"",SUMIFS('Dados DCA'!$L$9:$L$564,'Dados DCA'!$C$9:$C$564,$C20,'Dados DCA'!$E$9:$E$564,$D20,'Dados DCA'!$F$9:$F$564,"despesa_empenhada_total"))</f>
        <v>144559950.05</v>
      </c>
      <c r="J20" s="6" t="n">
        <f aca="false">IF(COUNTIFS('Dados DCA'!$C$9:$C$564,$C20,'Dados DCA'!$E$9:$E$564,$D20,'Dados DCA'!$F$9:$F$564,"despesa_liquidada_total")=0,"",SUMIFS('Dados DCA'!$L$9:$L$564,'Dados DCA'!$C$9:$C$564,$C20,'Dados DCA'!$E$9:$E$564,$D20,'Dados DCA'!$F$9:$F$564,"despesa_liquidada_total"))</f>
        <v>144095218.23</v>
      </c>
      <c r="K20" s="6" t="n">
        <f aca="false">IF(COUNTIFS('Dados DCA'!$C$9:$C$564,$C20,'Dados DCA'!$E$9:$E$564,$D20,'Dados DCA'!$F$9:$F$564,"despesa_paga_total")=0,"",SUMIFS('Dados DCA'!$L$9:$L$564,'Dados DCA'!$C$9:$C$564,$C20,'Dados DCA'!$E$9:$E$564,$D20,'Dados DCA'!$F$9:$F$564,"despesa_paga_total"))</f>
        <v>137473977.04</v>
      </c>
      <c r="L20" s="6" t="str">
        <f aca="false">IF(COUNTIFS('Dados DCA'!$C$9:$C$564,$C20,'Dados DCA'!$E$9:$E$564,$D20,'Dados DCA'!$F$9:$F$564,"despesa_empenhada_exceto_intra")=0,"",SUMIFS('Dados DCA'!$L$9:$L$564,'Dados DCA'!$C$9:$C$564,$C20,'Dados DCA'!$E$9:$E$564,$D20,'Dados DCA'!$F$9:$F$564,"despesa_empenhada_exceto_intra"))</f>
        <v/>
      </c>
      <c r="M20" s="18" t="str">
        <f aca="false">IF(OR(I20="",L20=""),"",I20-L20)</f>
        <v/>
      </c>
      <c r="N20" s="6" t="n">
        <f aca="false">IF(COUNTIFS('Dados DCA'!$C$9:$C$564,$C20,'Dados DCA'!$E$9:$E$564,$D20,'Dados DCA'!$F$9:$F$564,"receita_tributaria_propria_bruta")=0,"",SUMIFS('Dados DCA'!$L$9:$L$564,'Dados DCA'!$C$9:$C$564,$C20,'Dados DCA'!$E$9:$E$564,$D20,'Dados DCA'!$F$9:$F$564,"receita_tributaria_propria_bruta"))</f>
        <v>8421767.34</v>
      </c>
      <c r="O20" s="6" t="n">
        <f aca="false">IF(COUNTIFS('Dados DCA'!$C$9:$C$564,$C20,'Dados DCA'!$E$9:$E$564,$D20,'Dados DCA'!$F$9:$F$564,"transferencias_correntes_total_brutas")=0,"",SUMIFS('Dados DCA'!$L$9:$L$564,'Dados DCA'!$C$9:$C$564,$C20,'Dados DCA'!$E$9:$E$564,$D20,'Dados DCA'!$F$9:$F$564,"transferencias_correntes_total_brutas"))</f>
        <v>122197382.77</v>
      </c>
      <c r="P20" s="6" t="n">
        <f aca="false">IF(COUNTIFS('Dados DCA'!$C$9:$C$564,$C20,'Dados DCA'!$E$9:$E$564,$D20,'Dados DCA'!$F$9:$F$564,"transferencias_intergov_correntes_proxy")=0,"",SUMIFS('Dados DCA'!$L$9:$L$564,'Dados DCA'!$C$9:$C$564,$C20,'Dados DCA'!$E$9:$E$564,$D20,'Dados DCA'!$F$9:$F$564,"transferencias_intergov_correntes_proxy"))</f>
        <v>122084808.01</v>
      </c>
      <c r="Q20" s="19" t="n">
        <f aca="false">IF(COUNTIFS('Dados IBGE'!$C$9:$C$164,$C20,'Dados IBGE'!$E$9:$E$164,$D20,'Dados IBGE'!$G$9:$G$164,"pop_censo")&gt;0,SUMIFS('Dados IBGE'!$J$9:$J$164,'Dados IBGE'!$C$9:$C$164,$C20,'Dados IBGE'!$E$9:$E$164,$D20,'Dados IBGE'!$G$9:$G$164,"pop_censo"),IF(COUNTIFS('Dados IBGE'!$C$9:$C$164,$C20,'Dados IBGE'!$E$9:$E$164,$D20,'Dados IBGE'!$G$9:$G$164,"pop_estimada")=0,"",SUMIFS('Dados IBGE'!$J$9:$J$164,'Dados IBGE'!$C$9:$C$164,$C20,'Dados IBGE'!$E$9:$E$164,$D20,'Dados IBGE'!$G$9:$G$164,"pop_estimada")))</f>
        <v>83287</v>
      </c>
      <c r="R20" s="6" t="n">
        <f aca="false">IF(COUNTIFS('Dados IBGE'!$C$9:$C$164,$C20,'Dados IBGE'!$E$9:$E$164,$D20,'Dados IBGE'!$G$9:$G$164,"pib")=0,"",SUMIFS('Dados IBGE'!$J$9:$J$164,'Dados IBGE'!$C$9:$C$164,$C20,'Dados IBGE'!$E$9:$E$164,$D20,'Dados IBGE'!$G$9:$G$164,"pib")*1000)</f>
        <v>786323000</v>
      </c>
      <c r="S20" s="20" t="n">
        <f aca="false">IF(COUNTIFS('Dados IBGE'!$E$9:$E$164,$D20,'Dados IBGE'!$G$9:$G$164,"ipca")&lt;&gt;12,"",SUMIFS('Dados IBGE'!$J$9:$J$164,'Dados IBGE'!$E$9:$E$164,$D20,'Dados IBGE'!$G$9:$G$164,"ipca")/12)</f>
        <v>4686.78666666667</v>
      </c>
      <c r="T20" s="20" t="n">
        <f aca="false">IF(OR(S20="",S20=0),"",AVERAGEIFS('Dados IBGE'!$J$9:$J$164,'Dados IBGE'!$E$9:$E$164,2024,'Dados IBGE'!$G$9:$G$164,"ipca")/S20)</f>
        <v>1.4833347083574</v>
      </c>
      <c r="U20" s="18" t="n">
        <f aca="false">IF(OR(E20="",T20=""),"",E20*T20)</f>
        <v>226965891.718551</v>
      </c>
      <c r="V20" s="18" t="n">
        <f aca="false">IF(OR(I20="",T20=""),"",I20*T20)</f>
        <v>214430791.347577</v>
      </c>
      <c r="W20" s="18" t="n">
        <f aca="false">IF(OR(Q20="",Q20=0,U20=""),"",U20/Q20)</f>
        <v>2725.10585948049</v>
      </c>
      <c r="X20" s="18" t="n">
        <f aca="false">IF(OR(Q20="",Q20=0,V20=""),"",V20/Q20)</f>
        <v>2574.60097431264</v>
      </c>
      <c r="Y20" s="21" t="n">
        <f aca="false">IF(OR(E20="",E20=0,N20=""),"",N20/E20)</f>
        <v>0.0550404279098632</v>
      </c>
      <c r="Z20" s="21" t="n">
        <f aca="false">IF(OR(E20="",E20=0,O20=""),"",O20/E20)</f>
        <v>0.79862052293719</v>
      </c>
      <c r="AA20" s="21" t="n">
        <f aca="false">IF(OR(R20="",R20=0,E20=""),"",E20/R20)</f>
        <v>0.194589973433309</v>
      </c>
      <c r="AB20" s="21" t="n">
        <f aca="false">IF(OR(R20="",R20=0,I20=""),"",I20/R20)</f>
        <v>0.183842962815535</v>
      </c>
      <c r="AC20" s="6" t="str">
        <f aca="false">IF(COUNTIFS('Dados DCA'!$C$9:$C$564,$C20,'Dados DCA'!$E$9:$E$564,$D20,'Dados DCA'!$F$9:$F$564,"receita_exceto_intra_bruta")=0,"",SUMIFS('Dados DCA'!$L$9:$L$564,'Dados DCA'!$C$9:$C$564,$C20,'Dados DCA'!$E$9:$E$564,$D20,'Dados DCA'!$F$9:$F$564,"receita_exceto_intra_bruta"))</f>
        <v/>
      </c>
      <c r="AD20" s="6" t="str">
        <f aca="false">IF(COUNTIFS('Dados DCA'!$C$9:$C$564,$C20,'Dados DCA'!$E$9:$E$564,$D20,'Dados DCA'!$F$9:$F$564,"receita_intra_bruta")=0,"",SUMIFS('Dados DCA'!$L$9:$L$564,'Dados DCA'!$C$9:$C$564,$C20,'Dados DCA'!$E$9:$E$564,$D20,'Dados DCA'!$F$9:$F$564,"receita_intra_bruta"))</f>
        <v/>
      </c>
    </row>
    <row r="21" customFormat="false" ht="15" hidden="false" customHeight="false" outlineLevel="0" collapsed="false">
      <c r="C21" s="12" t="s">
        <v>6</v>
      </c>
      <c r="D21" s="13" t="n">
        <v>2017</v>
      </c>
      <c r="E21" s="6" t="n">
        <f aca="false">IF(COUNTIFS('Dados DCA'!$C$9:$C$564,$C21,'Dados DCA'!$E$9:$E$564,$D21,'Dados DCA'!$F$9:$F$564,"receita_total_bruta")=0,"",SUMIFS('Dados DCA'!$L$9:$L$564,'Dados DCA'!$C$9:$C$564,$C21,'Dados DCA'!$E$9:$E$564,$D21,'Dados DCA'!$F$9:$F$564,"receita_total_bruta"))</f>
        <v>161988934.65</v>
      </c>
      <c r="F21" s="6" t="n">
        <f aca="false">IF(COUNTIFS('Dados DCA'!$C$9:$C$564,$C21,'Dados DCA'!$E$9:$E$564,$D21,'Dados DCA'!$F$9:$F$564,"deducao_fundeb")=0,"",ABS(SUMIFS('Dados DCA'!$L$9:$L$564,'Dados DCA'!$C$9:$C$564,$C21,'Dados DCA'!$E$9:$E$564,$D21,'Dados DCA'!$F$9:$F$564,"deducao_fundeb")))</f>
        <v>11013976.38</v>
      </c>
      <c r="G21" s="6" t="str">
        <f aca="false">IF(COUNTIFS('Dados DCA'!$C$9:$C$564,$C21,'Dados DCA'!$E$9:$E$564,$D21,'Dados DCA'!$F$9:$F$564,"outras_deducoes")=0,"",ABS(SUMIFS('Dados DCA'!$L$9:$L$564,'Dados DCA'!$C$9:$C$564,$C21,'Dados DCA'!$E$9:$E$564,$D21,'Dados DCA'!$F$9:$F$564,"outras_deducoes")))</f>
        <v/>
      </c>
      <c r="H21" s="18" t="n">
        <f aca="false">IF(OR(E21="",F21=""),"",E21-F21-IF(G21="",0,G21))</f>
        <v>150974958.27</v>
      </c>
      <c r="I21" s="6" t="n">
        <f aca="false">IF(COUNTIFS('Dados DCA'!$C$9:$C$564,$C21,'Dados DCA'!$E$9:$E$564,$D21,'Dados DCA'!$F$9:$F$564,"despesa_empenhada_total")=0,"",SUMIFS('Dados DCA'!$L$9:$L$564,'Dados DCA'!$C$9:$C$564,$C21,'Dados DCA'!$E$9:$E$564,$D21,'Dados DCA'!$F$9:$F$564,"despesa_empenhada_total"))</f>
        <v>154891637.84</v>
      </c>
      <c r="J21" s="6" t="n">
        <f aca="false">IF(COUNTIFS('Dados DCA'!$C$9:$C$564,$C21,'Dados DCA'!$E$9:$E$564,$D21,'Dados DCA'!$F$9:$F$564,"despesa_liquidada_total")=0,"",SUMIFS('Dados DCA'!$L$9:$L$564,'Dados DCA'!$C$9:$C$564,$C21,'Dados DCA'!$E$9:$E$564,$D21,'Dados DCA'!$F$9:$F$564,"despesa_liquidada_total"))</f>
        <v>154826524.06</v>
      </c>
      <c r="K21" s="6" t="n">
        <f aca="false">IF(COUNTIFS('Dados DCA'!$C$9:$C$564,$C21,'Dados DCA'!$E$9:$E$564,$D21,'Dados DCA'!$F$9:$F$564,"despesa_paga_total")=0,"",SUMIFS('Dados DCA'!$L$9:$L$564,'Dados DCA'!$C$9:$C$564,$C21,'Dados DCA'!$E$9:$E$564,$D21,'Dados DCA'!$F$9:$F$564,"despesa_paga_total"))</f>
        <v>147965476.25</v>
      </c>
      <c r="L21" s="6" t="n">
        <f aca="false">IF(COUNTIFS('Dados DCA'!$C$9:$C$564,$C21,'Dados DCA'!$E$9:$E$564,$D21,'Dados DCA'!$F$9:$F$564,"despesa_empenhada_exceto_intra")=0,"",SUMIFS('Dados DCA'!$L$9:$L$564,'Dados DCA'!$C$9:$C$564,$C21,'Dados DCA'!$E$9:$E$564,$D21,'Dados DCA'!$F$9:$F$564,"despesa_empenhada_exceto_intra"))</f>
        <v>146549527.9</v>
      </c>
      <c r="M21" s="18" t="n">
        <f aca="false">IF(OR(I21="",L21=""),"",I21-L21)</f>
        <v>8342109.94</v>
      </c>
      <c r="N21" s="6" t="n">
        <f aca="false">IF(COUNTIFS('Dados DCA'!$C$9:$C$564,$C21,'Dados DCA'!$E$9:$E$564,$D21,'Dados DCA'!$F$9:$F$564,"receita_tributaria_propria_bruta")=0,"",SUMIFS('Dados DCA'!$L$9:$L$564,'Dados DCA'!$C$9:$C$564,$C21,'Dados DCA'!$E$9:$E$564,$D21,'Dados DCA'!$F$9:$F$564,"receita_tributaria_propria_bruta"))</f>
        <v>8909186.29</v>
      </c>
      <c r="O21" s="6" t="n">
        <f aca="false">IF(COUNTIFS('Dados DCA'!$C$9:$C$564,$C21,'Dados DCA'!$E$9:$E$564,$D21,'Dados DCA'!$F$9:$F$564,"transferencias_correntes_total_brutas")=0,"",SUMIFS('Dados DCA'!$L$9:$L$564,'Dados DCA'!$C$9:$C$564,$C21,'Dados DCA'!$E$9:$E$564,$D21,'Dados DCA'!$F$9:$F$564,"transferencias_correntes_total_brutas"))</f>
        <v>126354124.88</v>
      </c>
      <c r="P21" s="6" t="n">
        <f aca="false">IF(COUNTIFS('Dados DCA'!$C$9:$C$564,$C21,'Dados DCA'!$E$9:$E$564,$D21,'Dados DCA'!$F$9:$F$564,"transferencias_intergov_correntes_proxy")=0,"",SUMIFS('Dados DCA'!$L$9:$L$564,'Dados DCA'!$C$9:$C$564,$C21,'Dados DCA'!$E$9:$E$564,$D21,'Dados DCA'!$F$9:$F$564,"transferencias_intergov_correntes_proxy"))</f>
        <v>125224381.34</v>
      </c>
      <c r="Q21" s="19" t="n">
        <f aca="false">IF(COUNTIFS('Dados IBGE'!$C$9:$C$164,$C21,'Dados IBGE'!$E$9:$E$164,$D21,'Dados IBGE'!$G$9:$G$164,"pop_censo")&gt;0,SUMIFS('Dados IBGE'!$J$9:$J$164,'Dados IBGE'!$C$9:$C$164,$C21,'Dados IBGE'!$E$9:$E$164,$D21,'Dados IBGE'!$G$9:$G$164,"pop_censo"),IF(COUNTIFS('Dados IBGE'!$C$9:$C$164,$C21,'Dados IBGE'!$E$9:$E$164,$D21,'Dados IBGE'!$G$9:$G$164,"pop_estimada")=0,"",SUMIFS('Dados IBGE'!$J$9:$J$164,'Dados IBGE'!$C$9:$C$164,$C21,'Dados IBGE'!$E$9:$E$164,$D21,'Dados IBGE'!$G$9:$G$164,"pop_estimada")))</f>
        <v>83757</v>
      </c>
      <c r="R21" s="6" t="n">
        <f aca="false">IF(COUNTIFS('Dados IBGE'!$C$9:$C$164,$C21,'Dados IBGE'!$E$9:$E$164,$D21,'Dados IBGE'!$G$9:$G$164,"pib")=0,"",SUMIFS('Dados IBGE'!$J$9:$J$164,'Dados IBGE'!$C$9:$C$164,$C21,'Dados IBGE'!$E$9:$E$164,$D21,'Dados IBGE'!$G$9:$G$164,"pib")*1000)</f>
        <v>987505000</v>
      </c>
      <c r="S21" s="20" t="n">
        <f aca="false">IF(COUNTIFS('Dados IBGE'!$E$9:$E$164,$D21,'Dados IBGE'!$G$9:$G$164,"ipca")&lt;&gt;12,"",SUMIFS('Dados IBGE'!$J$9:$J$164,'Dados IBGE'!$E$9:$E$164,$D21,'Dados IBGE'!$G$9:$G$164,"ipca")/12)</f>
        <v>4848.31083333333</v>
      </c>
      <c r="T21" s="20" t="n">
        <f aca="false">IF(OR(S21="",S21=0),"",AVERAGEIFS('Dados IBGE'!$J$9:$J$164,'Dados IBGE'!$E$9:$E$164,2024,'Dados IBGE'!$G$9:$G$164,"ipca")/S21)</f>
        <v>1.43391658916258</v>
      </c>
      <c r="U21" s="18" t="n">
        <f aca="false">IF(OR(E21="",T21=""),"",E21*T21)</f>
        <v>232278620.655409</v>
      </c>
      <c r="V21" s="18" t="n">
        <f aca="false">IF(OR(I21="",T21=""),"",I21*T21)</f>
        <v>222101689.021339</v>
      </c>
      <c r="W21" s="18" t="n">
        <f aca="false">IF(OR(Q21="",Q21=0,U21=""),"",U21/Q21)</f>
        <v>2773.24427397601</v>
      </c>
      <c r="X21" s="18" t="n">
        <f aca="false">IF(OR(Q21="",Q21=0,V21=""),"",V21/Q21)</f>
        <v>2651.73882805424</v>
      </c>
      <c r="Y21" s="21" t="n">
        <f aca="false">IF(OR(E21="",E21=0,N21=""),"",N21/E21)</f>
        <v>0.0549987337669055</v>
      </c>
      <c r="Z21" s="21" t="n">
        <f aca="false">IF(OR(E21="",E21=0,O21=""),"",O21/E21)</f>
        <v>0.780017012600311</v>
      </c>
      <c r="AA21" s="21" t="n">
        <f aca="false">IF(OR(R21="",R21=0,E21=""),"",E21/R21)</f>
        <v>0.164038596918497</v>
      </c>
      <c r="AB21" s="21" t="n">
        <f aca="false">IF(OR(R21="",R21=0,I21=""),"",I21/R21)</f>
        <v>0.156851497298748</v>
      </c>
      <c r="AC21" s="6" t="str">
        <f aca="false">IF(COUNTIFS('Dados DCA'!$C$9:$C$564,$C21,'Dados DCA'!$E$9:$E$564,$D21,'Dados DCA'!$F$9:$F$564,"receita_exceto_intra_bruta")=0,"",SUMIFS('Dados DCA'!$L$9:$L$564,'Dados DCA'!$C$9:$C$564,$C21,'Dados DCA'!$E$9:$E$564,$D21,'Dados DCA'!$F$9:$F$564,"receita_exceto_intra_bruta"))</f>
        <v/>
      </c>
      <c r="AD21" s="6" t="str">
        <f aca="false">IF(COUNTIFS('Dados DCA'!$C$9:$C$564,$C21,'Dados DCA'!$E$9:$E$564,$D21,'Dados DCA'!$F$9:$F$564,"receita_intra_bruta")=0,"",SUMIFS('Dados DCA'!$L$9:$L$564,'Dados DCA'!$C$9:$C$564,$C21,'Dados DCA'!$E$9:$E$564,$D21,'Dados DCA'!$F$9:$F$564,"receita_intra_bruta"))</f>
        <v/>
      </c>
    </row>
    <row r="22" customFormat="false" ht="15" hidden="false" customHeight="false" outlineLevel="0" collapsed="false">
      <c r="C22" s="12" t="s">
        <v>6</v>
      </c>
      <c r="D22" s="13" t="n">
        <v>2018</v>
      </c>
      <c r="E22" s="6" t="n">
        <f aca="false">IF(COUNTIFS('Dados DCA'!$C$9:$C$564,$C22,'Dados DCA'!$E$9:$E$564,$D22,'Dados DCA'!$F$9:$F$564,"receita_total_bruta")=0,"",SUMIFS('Dados DCA'!$L$9:$L$564,'Dados DCA'!$C$9:$C$564,$C22,'Dados DCA'!$E$9:$E$564,$D22,'Dados DCA'!$F$9:$F$564,"receita_total_bruta"))</f>
        <v>184621817.19</v>
      </c>
      <c r="F22" s="6" t="n">
        <f aca="false">IF(COUNTIFS('Dados DCA'!$C$9:$C$564,$C22,'Dados DCA'!$E$9:$E$564,$D22,'Dados DCA'!$F$9:$F$564,"deducao_fundeb")=0,"",ABS(SUMIFS('Dados DCA'!$L$9:$L$564,'Dados DCA'!$C$9:$C$564,$C22,'Dados DCA'!$E$9:$E$564,$D22,'Dados DCA'!$F$9:$F$564,"deducao_fundeb")))</f>
        <v>11712988.7</v>
      </c>
      <c r="G22" s="6" t="str">
        <f aca="false">IF(COUNTIFS('Dados DCA'!$C$9:$C$564,$C22,'Dados DCA'!$E$9:$E$564,$D22,'Dados DCA'!$F$9:$F$564,"outras_deducoes")=0,"",ABS(SUMIFS('Dados DCA'!$L$9:$L$564,'Dados DCA'!$C$9:$C$564,$C22,'Dados DCA'!$E$9:$E$564,$D22,'Dados DCA'!$F$9:$F$564,"outras_deducoes")))</f>
        <v/>
      </c>
      <c r="H22" s="18" t="n">
        <f aca="false">IF(OR(E22="",F22=""),"",E22-F22-IF(G22="",0,G22))</f>
        <v>172908828.49</v>
      </c>
      <c r="I22" s="6" t="n">
        <f aca="false">IF(COUNTIFS('Dados DCA'!$C$9:$C$564,$C22,'Dados DCA'!$E$9:$E$564,$D22,'Dados DCA'!$F$9:$F$564,"despesa_empenhada_total")=0,"",SUMIFS('Dados DCA'!$L$9:$L$564,'Dados DCA'!$C$9:$C$564,$C22,'Dados DCA'!$E$9:$E$564,$D22,'Dados DCA'!$F$9:$F$564,"despesa_empenhada_total"))</f>
        <v>173889763.93</v>
      </c>
      <c r="J22" s="6" t="n">
        <f aca="false">IF(COUNTIFS('Dados DCA'!$C$9:$C$564,$C22,'Dados DCA'!$E$9:$E$564,$D22,'Dados DCA'!$F$9:$F$564,"despesa_liquidada_total")=0,"",SUMIFS('Dados DCA'!$L$9:$L$564,'Dados DCA'!$C$9:$C$564,$C22,'Dados DCA'!$E$9:$E$564,$D22,'Dados DCA'!$F$9:$F$564,"despesa_liquidada_total"))</f>
        <v>170863602.23</v>
      </c>
      <c r="K22" s="6" t="n">
        <f aca="false">IF(COUNTIFS('Dados DCA'!$C$9:$C$564,$C22,'Dados DCA'!$E$9:$E$564,$D22,'Dados DCA'!$F$9:$F$564,"despesa_paga_total")=0,"",SUMIFS('Dados DCA'!$L$9:$L$564,'Dados DCA'!$C$9:$C$564,$C22,'Dados DCA'!$E$9:$E$564,$D22,'Dados DCA'!$F$9:$F$564,"despesa_paga_total"))</f>
        <v>164697256.32</v>
      </c>
      <c r="L22" s="6" t="n">
        <f aca="false">IF(COUNTIFS('Dados DCA'!$C$9:$C$564,$C22,'Dados DCA'!$E$9:$E$564,$D22,'Dados DCA'!$F$9:$F$564,"despesa_empenhada_exceto_intra")=0,"",SUMIFS('Dados DCA'!$L$9:$L$564,'Dados DCA'!$C$9:$C$564,$C22,'Dados DCA'!$E$9:$E$564,$D22,'Dados DCA'!$F$9:$F$564,"despesa_empenhada_exceto_intra"))</f>
        <v>166215763.21</v>
      </c>
      <c r="M22" s="18" t="n">
        <f aca="false">IF(OR(I22="",L22=""),"",I22-L22)</f>
        <v>7674000.72</v>
      </c>
      <c r="N22" s="6" t="n">
        <f aca="false">IF(COUNTIFS('Dados DCA'!$C$9:$C$564,$C22,'Dados DCA'!$E$9:$E$564,$D22,'Dados DCA'!$F$9:$F$564,"receita_tributaria_propria_bruta")=0,"",SUMIFS('Dados DCA'!$L$9:$L$564,'Dados DCA'!$C$9:$C$564,$C22,'Dados DCA'!$E$9:$E$564,$D22,'Dados DCA'!$F$9:$F$564,"receita_tributaria_propria_bruta"))</f>
        <v>9225917.83</v>
      </c>
      <c r="O22" s="6" t="n">
        <f aca="false">IF(COUNTIFS('Dados DCA'!$C$9:$C$564,$C22,'Dados DCA'!$E$9:$E$564,$D22,'Dados DCA'!$F$9:$F$564,"transferencias_correntes_total_brutas")=0,"",SUMIFS('Dados DCA'!$L$9:$L$564,'Dados DCA'!$C$9:$C$564,$C22,'Dados DCA'!$E$9:$E$564,$D22,'Dados DCA'!$F$9:$F$564,"transferencias_correntes_total_brutas"))</f>
        <v>144701823.68</v>
      </c>
      <c r="P22" s="6" t="n">
        <f aca="false">IF(COUNTIFS('Dados DCA'!$C$9:$C$564,$C22,'Dados DCA'!$E$9:$E$564,$D22,'Dados DCA'!$F$9:$F$564,"transferencias_intergov_correntes_proxy")=0,"",SUMIFS('Dados DCA'!$L$9:$L$564,'Dados DCA'!$C$9:$C$564,$C22,'Dados DCA'!$E$9:$E$564,$D22,'Dados DCA'!$F$9:$F$564,"transferencias_intergov_correntes_proxy"))</f>
        <v>97242736.5</v>
      </c>
      <c r="Q22" s="19" t="n">
        <f aca="false">IF(COUNTIFS('Dados IBGE'!$C$9:$C$164,$C22,'Dados IBGE'!$E$9:$E$164,$D22,'Dados IBGE'!$G$9:$G$164,"pop_censo")&gt;0,SUMIFS('Dados IBGE'!$J$9:$J$164,'Dados IBGE'!$C$9:$C$164,$C22,'Dados IBGE'!$E$9:$E$164,$D22,'Dados IBGE'!$G$9:$G$164,"pop_censo"),IF(COUNTIFS('Dados IBGE'!$C$9:$C$164,$C22,'Dados IBGE'!$E$9:$E$164,$D22,'Dados IBGE'!$G$9:$G$164,"pop_estimada")=0,"",SUMIFS('Dados IBGE'!$J$9:$J$164,'Dados IBGE'!$C$9:$C$164,$C22,'Dados IBGE'!$E$9:$E$164,$D22,'Dados IBGE'!$G$9:$G$164,"pop_estimada")))</f>
        <v>83964</v>
      </c>
      <c r="R22" s="6" t="n">
        <f aca="false">IF(COUNTIFS('Dados IBGE'!$C$9:$C$164,$C22,'Dados IBGE'!$E$9:$E$164,$D22,'Dados IBGE'!$G$9:$G$164,"pib")=0,"",SUMIFS('Dados IBGE'!$J$9:$J$164,'Dados IBGE'!$C$9:$C$164,$C22,'Dados IBGE'!$E$9:$E$164,$D22,'Dados IBGE'!$G$9:$G$164,"pib")*1000)</f>
        <v>1032652000</v>
      </c>
      <c r="S22" s="20" t="n">
        <f aca="false">IF(COUNTIFS('Dados IBGE'!$E$9:$E$164,$D22,'Dados IBGE'!$G$9:$G$164,"ipca")&lt;&gt;12,"",SUMIFS('Dados IBGE'!$J$9:$J$164,'Dados IBGE'!$E$9:$E$164,$D22,'Dados IBGE'!$G$9:$G$164,"ipca")/12)</f>
        <v>5025.99416666667</v>
      </c>
      <c r="T22" s="20" t="n">
        <f aca="false">IF(OR(S22="",S22=0),"",AVERAGEIFS('Dados IBGE'!$J$9:$J$164,'Dados IBGE'!$E$9:$E$164,2024,'Dados IBGE'!$G$9:$G$164,"ipca")/S22)</f>
        <v>1.38322351813315</v>
      </c>
      <c r="U22" s="18" t="n">
        <f aca="false">IF(OR(E22="",T22=""),"",E22*T22)</f>
        <v>255373239.497686</v>
      </c>
      <c r="V22" s="18" t="n">
        <f aca="false">IF(OR(I22="",T22=""),"",I22*T22)</f>
        <v>240528411.030597</v>
      </c>
      <c r="W22" s="18" t="n">
        <f aca="false">IF(OR(Q22="",Q22=0,U22=""),"",U22/Q22)</f>
        <v>3041.46109639472</v>
      </c>
      <c r="X22" s="18" t="n">
        <f aca="false">IF(OR(Q22="",Q22=0,V22=""),"",V22/Q22)</f>
        <v>2864.66117658278</v>
      </c>
      <c r="Y22" s="21" t="n">
        <f aca="false">IF(OR(E22="",E22=0,N22=""),"",N22/E22)</f>
        <v>0.0499719803998318</v>
      </c>
      <c r="Z22" s="21" t="n">
        <f aca="false">IF(OR(E22="",E22=0,O22=""),"",O22/E22)</f>
        <v>0.783774235799461</v>
      </c>
      <c r="AA22" s="21" t="n">
        <f aca="false">IF(OR(R22="",R22=0,E22=""),"",E22/R22)</f>
        <v>0.178784156898936</v>
      </c>
      <c r="AB22" s="21" t="n">
        <f aca="false">IF(OR(R22="",R22=0,I22=""),"",I22/R22)</f>
        <v>0.168391446421447</v>
      </c>
      <c r="AC22" s="6" t="str">
        <f aca="false">IF(COUNTIFS('Dados DCA'!$C$9:$C$564,$C22,'Dados DCA'!$E$9:$E$564,$D22,'Dados DCA'!$F$9:$F$564,"receita_exceto_intra_bruta")=0,"",SUMIFS('Dados DCA'!$L$9:$L$564,'Dados DCA'!$C$9:$C$564,$C22,'Dados DCA'!$E$9:$E$564,$D22,'Dados DCA'!$F$9:$F$564,"receita_exceto_intra_bruta"))</f>
        <v/>
      </c>
      <c r="AD22" s="6" t="str">
        <f aca="false">IF(COUNTIFS('Dados DCA'!$C$9:$C$564,$C22,'Dados DCA'!$E$9:$E$564,$D22,'Dados DCA'!$F$9:$F$564,"receita_intra_bruta")=0,"",SUMIFS('Dados DCA'!$L$9:$L$564,'Dados DCA'!$C$9:$C$564,$C22,'Dados DCA'!$E$9:$E$564,$D22,'Dados DCA'!$F$9:$F$564,"receita_intra_bruta"))</f>
        <v/>
      </c>
    </row>
    <row r="23" customFormat="false" ht="15" hidden="false" customHeight="false" outlineLevel="0" collapsed="false">
      <c r="C23" s="12" t="s">
        <v>6</v>
      </c>
      <c r="D23" s="13" t="n">
        <v>2019</v>
      </c>
      <c r="E23" s="6" t="n">
        <f aca="false">IF(COUNTIFS('Dados DCA'!$C$9:$C$564,$C23,'Dados DCA'!$E$9:$E$564,$D23,'Dados DCA'!$F$9:$F$564,"receita_total_bruta")=0,"",SUMIFS('Dados DCA'!$L$9:$L$564,'Dados DCA'!$C$9:$C$564,$C23,'Dados DCA'!$E$9:$E$564,$D23,'Dados DCA'!$F$9:$F$564,"receita_total_bruta"))</f>
        <v>186226166.97</v>
      </c>
      <c r="F23" s="6" t="n">
        <f aca="false">IF(COUNTIFS('Dados DCA'!$C$9:$C$564,$C23,'Dados DCA'!$E$9:$E$564,$D23,'Dados DCA'!$F$9:$F$564,"deducao_fundeb")=0,"",ABS(SUMIFS('Dados DCA'!$L$9:$L$564,'Dados DCA'!$C$9:$C$564,$C23,'Dados DCA'!$E$9:$E$564,$D23,'Dados DCA'!$F$9:$F$564,"deducao_fundeb")))</f>
        <v>12642271.25</v>
      </c>
      <c r="G23" s="6" t="str">
        <f aca="false">IF(COUNTIFS('Dados DCA'!$C$9:$C$564,$C23,'Dados DCA'!$E$9:$E$564,$D23,'Dados DCA'!$F$9:$F$564,"outras_deducoes")=0,"",ABS(SUMIFS('Dados DCA'!$L$9:$L$564,'Dados DCA'!$C$9:$C$564,$C23,'Dados DCA'!$E$9:$E$564,$D23,'Dados DCA'!$F$9:$F$564,"outras_deducoes")))</f>
        <v/>
      </c>
      <c r="H23" s="18" t="n">
        <f aca="false">IF(OR(E23="",F23=""),"",E23-F23-IF(G23="",0,G23))</f>
        <v>173583895.72</v>
      </c>
      <c r="I23" s="6" t="n">
        <f aca="false">IF(COUNTIFS('Dados DCA'!$C$9:$C$564,$C23,'Dados DCA'!$E$9:$E$564,$D23,'Dados DCA'!$F$9:$F$564,"despesa_empenhada_total")=0,"",SUMIFS('Dados DCA'!$L$9:$L$564,'Dados DCA'!$C$9:$C$564,$C23,'Dados DCA'!$E$9:$E$564,$D23,'Dados DCA'!$F$9:$F$564,"despesa_empenhada_total"))</f>
        <v>177169868.84</v>
      </c>
      <c r="J23" s="6" t="n">
        <f aca="false">IF(COUNTIFS('Dados DCA'!$C$9:$C$564,$C23,'Dados DCA'!$E$9:$E$564,$D23,'Dados DCA'!$F$9:$F$564,"despesa_liquidada_total")=0,"",SUMIFS('Dados DCA'!$L$9:$L$564,'Dados DCA'!$C$9:$C$564,$C23,'Dados DCA'!$E$9:$E$564,$D23,'Dados DCA'!$F$9:$F$564,"despesa_liquidada_total"))</f>
        <v>174981575.79</v>
      </c>
      <c r="K23" s="6" t="n">
        <f aca="false">IF(COUNTIFS('Dados DCA'!$C$9:$C$564,$C23,'Dados DCA'!$E$9:$E$564,$D23,'Dados DCA'!$F$9:$F$564,"despesa_paga_total")=0,"",SUMIFS('Dados DCA'!$L$9:$L$564,'Dados DCA'!$C$9:$C$564,$C23,'Dados DCA'!$E$9:$E$564,$D23,'Dados DCA'!$F$9:$F$564,"despesa_paga_total"))</f>
        <v>169197244.15</v>
      </c>
      <c r="L23" s="6" t="n">
        <f aca="false">IF(COUNTIFS('Dados DCA'!$C$9:$C$564,$C23,'Dados DCA'!$E$9:$E$564,$D23,'Dados DCA'!$F$9:$F$564,"despesa_empenhada_exceto_intra")=0,"",SUMIFS('Dados DCA'!$L$9:$L$564,'Dados DCA'!$C$9:$C$564,$C23,'Dados DCA'!$E$9:$E$564,$D23,'Dados DCA'!$F$9:$F$564,"despesa_empenhada_exceto_intra"))</f>
        <v>167198296.67</v>
      </c>
      <c r="M23" s="18" t="n">
        <f aca="false">IF(OR(I23="",L23=""),"",I23-L23)</f>
        <v>9971572.17000002</v>
      </c>
      <c r="N23" s="6" t="n">
        <f aca="false">IF(COUNTIFS('Dados DCA'!$C$9:$C$564,$C23,'Dados DCA'!$E$9:$E$564,$D23,'Dados DCA'!$F$9:$F$564,"receita_tributaria_propria_bruta")=0,"",SUMIFS('Dados DCA'!$L$9:$L$564,'Dados DCA'!$C$9:$C$564,$C23,'Dados DCA'!$E$9:$E$564,$D23,'Dados DCA'!$F$9:$F$564,"receita_tributaria_propria_bruta"))</f>
        <v>8764083.96</v>
      </c>
      <c r="O23" s="6" t="n">
        <f aca="false">IF(COUNTIFS('Dados DCA'!$C$9:$C$564,$C23,'Dados DCA'!$E$9:$E$564,$D23,'Dados DCA'!$F$9:$F$564,"transferencias_correntes_total_brutas")=0,"",SUMIFS('Dados DCA'!$L$9:$L$564,'Dados DCA'!$C$9:$C$564,$C23,'Dados DCA'!$E$9:$E$564,$D23,'Dados DCA'!$F$9:$F$564,"transferencias_correntes_total_brutas"))</f>
        <v>149560170.63</v>
      </c>
      <c r="P23" s="6" t="n">
        <f aca="false">IF(COUNTIFS('Dados DCA'!$C$9:$C$564,$C23,'Dados DCA'!$E$9:$E$564,$D23,'Dados DCA'!$F$9:$F$564,"transferencias_intergov_correntes_proxy")=0,"",SUMIFS('Dados DCA'!$L$9:$L$564,'Dados DCA'!$C$9:$C$564,$C23,'Dados DCA'!$E$9:$E$564,$D23,'Dados DCA'!$F$9:$F$564,"transferencias_intergov_correntes_proxy"))</f>
        <v>104844643.07</v>
      </c>
      <c r="Q23" s="19" t="n">
        <f aca="false">IF(COUNTIFS('Dados IBGE'!$C$9:$C$164,$C23,'Dados IBGE'!$E$9:$E$164,$D23,'Dados IBGE'!$G$9:$G$164,"pop_censo")&gt;0,SUMIFS('Dados IBGE'!$J$9:$J$164,'Dados IBGE'!$C$9:$C$164,$C23,'Dados IBGE'!$E$9:$E$164,$D23,'Dados IBGE'!$G$9:$G$164,"pop_censo"),IF(COUNTIFS('Dados IBGE'!$C$9:$C$164,$C23,'Dados IBGE'!$E$9:$E$164,$D23,'Dados IBGE'!$G$9:$G$164,"pop_estimada")=0,"",SUMIFS('Dados IBGE'!$J$9:$J$164,'Dados IBGE'!$C$9:$C$164,$C23,'Dados IBGE'!$E$9:$E$164,$D23,'Dados IBGE'!$G$9:$G$164,"pop_estimada")))</f>
        <v>84418</v>
      </c>
      <c r="R23" s="6" t="n">
        <f aca="false">IF(COUNTIFS('Dados IBGE'!$C$9:$C$164,$C23,'Dados IBGE'!$E$9:$E$164,$D23,'Dados IBGE'!$G$9:$G$164,"pib")=0,"",SUMIFS('Dados IBGE'!$J$9:$J$164,'Dados IBGE'!$C$9:$C$164,$C23,'Dados IBGE'!$E$9:$E$164,$D23,'Dados IBGE'!$G$9:$G$164,"pib")*1000)</f>
        <v>1030980000</v>
      </c>
      <c r="S23" s="20" t="n">
        <f aca="false">IF(COUNTIFS('Dados IBGE'!$E$9:$E$164,$D23,'Dados IBGE'!$G$9:$G$164,"ipca")&lt;&gt;12,"",SUMIFS('Dados IBGE'!$J$9:$J$164,'Dados IBGE'!$E$9:$E$164,$D23,'Dados IBGE'!$G$9:$G$164,"ipca")/12)</f>
        <v>5213.61333333333</v>
      </c>
      <c r="T23" s="20" t="n">
        <f aca="false">IF(OR(S23="",S23=0),"",AVERAGEIFS('Dados IBGE'!$J$9:$J$164,'Dados IBGE'!$E$9:$E$164,2024,'Dados IBGE'!$G$9:$G$164,"ipca")/S23)</f>
        <v>1.33344628549362</v>
      </c>
      <c r="U23" s="18" t="n">
        <f aca="false">IF(OR(E23="",T23=""),"",E23*T23)</f>
        <v>248322590.607861</v>
      </c>
      <c r="V23" s="18" t="n">
        <f aca="false">IF(OR(I23="",T23=""),"",I23*T23)</f>
        <v>236246503.50609</v>
      </c>
      <c r="W23" s="18" t="n">
        <f aca="false">IF(OR(Q23="",Q23=0,U23=""),"",U23/Q23)</f>
        <v>2941.58343727476</v>
      </c>
      <c r="X23" s="18" t="n">
        <f aca="false">IF(OR(Q23="",Q23=0,V23=""),"",V23/Q23)</f>
        <v>2798.53234506965</v>
      </c>
      <c r="Y23" s="21" t="n">
        <f aca="false">IF(OR(E23="",E23=0,N23=""),"",N23/E23)</f>
        <v>0.047061506460646</v>
      </c>
      <c r="Z23" s="21" t="n">
        <f aca="false">IF(OR(E23="",E23=0,O23=""),"",O23/E23)</f>
        <v>0.803110395619609</v>
      </c>
      <c r="AA23" s="21" t="n">
        <f aca="false">IF(OR(R23="",R23=0,E23=""),"",E23/R23)</f>
        <v>0.180630242070651</v>
      </c>
      <c r="AB23" s="21" t="n">
        <f aca="false">IF(OR(R23="",R23=0,I23=""),"",I23/R23)</f>
        <v>0.171846077363285</v>
      </c>
      <c r="AC23" s="6" t="n">
        <f aca="false">IF(COUNTIFS('Dados DCA'!$C$9:$C$564,$C23,'Dados DCA'!$E$9:$E$564,$D23,'Dados DCA'!$F$9:$F$564,"receita_exceto_intra_bruta")=0,"",SUMIFS('Dados DCA'!$L$9:$L$564,'Dados DCA'!$C$9:$C$564,$C23,'Dados DCA'!$E$9:$E$564,$D23,'Dados DCA'!$F$9:$F$564,"receita_exceto_intra_bruta"))</f>
        <v>176764171.87</v>
      </c>
      <c r="AD23" s="6" t="n">
        <f aca="false">IF(COUNTIFS('Dados DCA'!$C$9:$C$564,$C23,'Dados DCA'!$E$9:$E$564,$D23,'Dados DCA'!$F$9:$F$564,"receita_intra_bruta")=0,"",SUMIFS('Dados DCA'!$L$9:$L$564,'Dados DCA'!$C$9:$C$564,$C23,'Dados DCA'!$E$9:$E$564,$D23,'Dados DCA'!$F$9:$F$564,"receita_intra_bruta"))</f>
        <v>9461995.1</v>
      </c>
    </row>
    <row r="24" customFormat="false" ht="15" hidden="false" customHeight="false" outlineLevel="0" collapsed="false">
      <c r="C24" s="12" t="s">
        <v>6</v>
      </c>
      <c r="D24" s="13" t="n">
        <v>2020</v>
      </c>
      <c r="E24" s="6" t="n">
        <f aca="false">IF(COUNTIFS('Dados DCA'!$C$9:$C$564,$C24,'Dados DCA'!$E$9:$E$564,$D24,'Dados DCA'!$F$9:$F$564,"receita_total_bruta")=0,"",SUMIFS('Dados DCA'!$L$9:$L$564,'Dados DCA'!$C$9:$C$564,$C24,'Dados DCA'!$E$9:$E$564,$D24,'Dados DCA'!$F$9:$F$564,"receita_total_bruta"))</f>
        <v>214229962.81</v>
      </c>
      <c r="F24" s="6" t="n">
        <f aca="false">IF(COUNTIFS('Dados DCA'!$C$9:$C$564,$C24,'Dados DCA'!$E$9:$E$564,$D24,'Dados DCA'!$F$9:$F$564,"deducao_fundeb")=0,"",ABS(SUMIFS('Dados DCA'!$L$9:$L$564,'Dados DCA'!$C$9:$C$564,$C24,'Dados DCA'!$E$9:$E$564,$D24,'Dados DCA'!$F$9:$F$564,"deducao_fundeb")))</f>
        <v>12257372.01</v>
      </c>
      <c r="G24" s="6" t="str">
        <f aca="false">IF(COUNTIFS('Dados DCA'!$C$9:$C$564,$C24,'Dados DCA'!$E$9:$E$564,$D24,'Dados DCA'!$F$9:$F$564,"outras_deducoes")=0,"",ABS(SUMIFS('Dados DCA'!$L$9:$L$564,'Dados DCA'!$C$9:$C$564,$C24,'Dados DCA'!$E$9:$E$564,$D24,'Dados DCA'!$F$9:$F$564,"outras_deducoes")))</f>
        <v/>
      </c>
      <c r="H24" s="18" t="n">
        <f aca="false">IF(OR(E24="",F24=""),"",E24-F24-IF(G24="",0,G24))</f>
        <v>201972590.8</v>
      </c>
      <c r="I24" s="6" t="n">
        <f aca="false">IF(COUNTIFS('Dados DCA'!$C$9:$C$564,$C24,'Dados DCA'!$E$9:$E$564,$D24,'Dados DCA'!$F$9:$F$564,"despesa_empenhada_total")=0,"",SUMIFS('Dados DCA'!$L$9:$L$564,'Dados DCA'!$C$9:$C$564,$C24,'Dados DCA'!$E$9:$E$564,$D24,'Dados DCA'!$F$9:$F$564,"despesa_empenhada_total"))</f>
        <v>195968081.18</v>
      </c>
      <c r="J24" s="6" t="n">
        <f aca="false">IF(COUNTIFS('Dados DCA'!$C$9:$C$564,$C24,'Dados DCA'!$E$9:$E$564,$D24,'Dados DCA'!$F$9:$F$564,"despesa_liquidada_total")=0,"",SUMIFS('Dados DCA'!$L$9:$L$564,'Dados DCA'!$C$9:$C$564,$C24,'Dados DCA'!$E$9:$E$564,$D24,'Dados DCA'!$F$9:$F$564,"despesa_liquidada_total"))</f>
        <v>195841691.06</v>
      </c>
      <c r="K24" s="6" t="n">
        <f aca="false">IF(COUNTIFS('Dados DCA'!$C$9:$C$564,$C24,'Dados DCA'!$E$9:$E$564,$D24,'Dados DCA'!$F$9:$F$564,"despesa_paga_total")=0,"",SUMIFS('Dados DCA'!$L$9:$L$564,'Dados DCA'!$C$9:$C$564,$C24,'Dados DCA'!$E$9:$E$564,$D24,'Dados DCA'!$F$9:$F$564,"despesa_paga_total"))</f>
        <v>191113935.04</v>
      </c>
      <c r="L24" s="6" t="n">
        <f aca="false">IF(COUNTIFS('Dados DCA'!$C$9:$C$564,$C24,'Dados DCA'!$E$9:$E$564,$D24,'Dados DCA'!$F$9:$F$564,"despesa_empenhada_exceto_intra")=0,"",SUMIFS('Dados DCA'!$L$9:$L$564,'Dados DCA'!$C$9:$C$564,$C24,'Dados DCA'!$E$9:$E$564,$D24,'Dados DCA'!$F$9:$F$564,"despesa_empenhada_exceto_intra"))</f>
        <v>180497143.65</v>
      </c>
      <c r="M24" s="18" t="n">
        <f aca="false">IF(OR(I24="",L24=""),"",I24-L24)</f>
        <v>15470937.53</v>
      </c>
      <c r="N24" s="6" t="n">
        <f aca="false">IF(COUNTIFS('Dados DCA'!$C$9:$C$564,$C24,'Dados DCA'!$E$9:$E$564,$D24,'Dados DCA'!$F$9:$F$564,"receita_tributaria_propria_bruta")=0,"",SUMIFS('Dados DCA'!$L$9:$L$564,'Dados DCA'!$C$9:$C$564,$C24,'Dados DCA'!$E$9:$E$564,$D24,'Dados DCA'!$F$9:$F$564,"receita_tributaria_propria_bruta"))</f>
        <v>9688569.66</v>
      </c>
      <c r="O24" s="6" t="n">
        <f aca="false">IF(COUNTIFS('Dados DCA'!$C$9:$C$564,$C24,'Dados DCA'!$E$9:$E$564,$D24,'Dados DCA'!$F$9:$F$564,"transferencias_correntes_total_brutas")=0,"",SUMIFS('Dados DCA'!$L$9:$L$564,'Dados DCA'!$C$9:$C$564,$C24,'Dados DCA'!$E$9:$E$564,$D24,'Dados DCA'!$F$9:$F$564,"transferencias_correntes_total_brutas"))</f>
        <v>169988298.9</v>
      </c>
      <c r="P24" s="6" t="n">
        <f aca="false">IF(COUNTIFS('Dados DCA'!$C$9:$C$564,$C24,'Dados DCA'!$E$9:$E$564,$D24,'Dados DCA'!$F$9:$F$564,"transferencias_intergov_correntes_proxy")=0,"",SUMIFS('Dados DCA'!$L$9:$L$564,'Dados DCA'!$C$9:$C$564,$C24,'Dados DCA'!$E$9:$E$564,$D24,'Dados DCA'!$F$9:$F$564,"transferencias_intergov_correntes_proxy"))</f>
        <v>126544135</v>
      </c>
      <c r="Q24" s="19" t="n">
        <f aca="false">IF(COUNTIFS('Dados IBGE'!$C$9:$C$164,$C24,'Dados IBGE'!$E$9:$E$164,$D24,'Dados IBGE'!$G$9:$G$164,"pop_censo")&gt;0,SUMIFS('Dados IBGE'!$J$9:$J$164,'Dados IBGE'!$C$9:$C$164,$C24,'Dados IBGE'!$E$9:$E$164,$D24,'Dados IBGE'!$G$9:$G$164,"pop_censo"),IF(COUNTIFS('Dados IBGE'!$C$9:$C$164,$C24,'Dados IBGE'!$E$9:$E$164,$D24,'Dados IBGE'!$G$9:$G$164,"pop_estimada")=0,"",SUMIFS('Dados IBGE'!$J$9:$J$164,'Dados IBGE'!$C$9:$C$164,$C24,'Dados IBGE'!$E$9:$E$164,$D24,'Dados IBGE'!$G$9:$G$164,"pop_estimada")))</f>
        <v>84864</v>
      </c>
      <c r="R24" s="6" t="n">
        <f aca="false">IF(COUNTIFS('Dados IBGE'!$C$9:$C$164,$C24,'Dados IBGE'!$E$9:$E$164,$D24,'Dados IBGE'!$G$9:$G$164,"pib")=0,"",SUMIFS('Dados IBGE'!$J$9:$J$164,'Dados IBGE'!$C$9:$C$164,$C24,'Dados IBGE'!$E$9:$E$164,$D24,'Dados IBGE'!$G$9:$G$164,"pib")*1000)</f>
        <v>1035533000</v>
      </c>
      <c r="S24" s="20" t="n">
        <f aca="false">IF(COUNTIFS('Dados IBGE'!$E$9:$E$164,$D24,'Dados IBGE'!$G$9:$G$164,"ipca")&lt;&gt;12,"",SUMIFS('Dados IBGE'!$J$9:$J$164,'Dados IBGE'!$E$9:$E$164,$D24,'Dados IBGE'!$G$9:$G$164,"ipca")/12)</f>
        <v>5381.0625</v>
      </c>
      <c r="T24" s="20" t="n">
        <f aca="false">IF(OR(S24="",S24=0),"",AVERAGEIFS('Dados IBGE'!$J$9:$J$164,'Dados IBGE'!$E$9:$E$164,2024,'Dados IBGE'!$G$9:$G$164,"ipca")/S24)</f>
        <v>1.29195179080959</v>
      </c>
      <c r="U24" s="18" t="n">
        <f aca="false">IF(OR(E24="",T24=""),"",E24*T24)</f>
        <v>276774784.097452</v>
      </c>
      <c r="V24" s="18" t="n">
        <f aca="false">IF(OR(I24="",T24=""),"",I24*T24)</f>
        <v>253181313.42202</v>
      </c>
      <c r="W24" s="18" t="n">
        <f aca="false">IF(OR(Q24="",Q24=0,U24=""),"",U24/Q24)</f>
        <v>3261.39215801107</v>
      </c>
      <c r="X24" s="18" t="n">
        <f aca="false">IF(OR(Q24="",Q24=0,V24=""),"",V24/Q24)</f>
        <v>2983.37709066295</v>
      </c>
      <c r="Y24" s="21" t="n">
        <f aca="false">IF(OR(E24="",E24=0,N24=""),"",N24/E24)</f>
        <v>0.0452250914527431</v>
      </c>
      <c r="Z24" s="21" t="n">
        <f aca="false">IF(OR(E24="",E24=0,O24=""),"",O24/E24)</f>
        <v>0.793485172056731</v>
      </c>
      <c r="AA24" s="21" t="n">
        <f aca="false">IF(OR(R24="",R24=0,E24=""),"",E24/R24)</f>
        <v>0.20687893366025</v>
      </c>
      <c r="AB24" s="21" t="n">
        <f aca="false">IF(OR(R24="",R24=0,I24=""),"",I24/R24)</f>
        <v>0.189243685309884</v>
      </c>
      <c r="AC24" s="6" t="n">
        <f aca="false">IF(COUNTIFS('Dados DCA'!$C$9:$C$564,$C24,'Dados DCA'!$E$9:$E$564,$D24,'Dados DCA'!$F$9:$F$564,"receita_exceto_intra_bruta")=0,"",SUMIFS('Dados DCA'!$L$9:$L$564,'Dados DCA'!$C$9:$C$564,$C24,'Dados DCA'!$E$9:$E$564,$D24,'Dados DCA'!$F$9:$F$564,"receita_exceto_intra_bruta"))</f>
        <v>198722482.31</v>
      </c>
      <c r="AD24" s="6" t="n">
        <f aca="false">IF(COUNTIFS('Dados DCA'!$C$9:$C$564,$C24,'Dados DCA'!$E$9:$E$564,$D24,'Dados DCA'!$F$9:$F$564,"receita_intra_bruta")=0,"",SUMIFS('Dados DCA'!$L$9:$L$564,'Dados DCA'!$C$9:$C$564,$C24,'Dados DCA'!$E$9:$E$564,$D24,'Dados DCA'!$F$9:$F$564,"receita_intra_bruta"))</f>
        <v>15507480.5</v>
      </c>
    </row>
    <row r="25" customFormat="false" ht="15" hidden="false" customHeight="false" outlineLevel="0" collapsed="false">
      <c r="C25" s="12" t="s">
        <v>6</v>
      </c>
      <c r="D25" s="13" t="n">
        <v>2021</v>
      </c>
      <c r="E25" s="6" t="n">
        <f aca="false">IF(COUNTIFS('Dados DCA'!$C$9:$C$564,$C25,'Dados DCA'!$E$9:$E$564,$D25,'Dados DCA'!$F$9:$F$564,"receita_total_bruta")=0,"",SUMIFS('Dados DCA'!$L$9:$L$564,'Dados DCA'!$C$9:$C$564,$C25,'Dados DCA'!$E$9:$E$564,$D25,'Dados DCA'!$F$9:$F$564,"receita_total_bruta"))</f>
        <v>233989483.43</v>
      </c>
      <c r="F25" s="6" t="n">
        <f aca="false">IF(COUNTIFS('Dados DCA'!$C$9:$C$564,$C25,'Dados DCA'!$E$9:$E$564,$D25,'Dados DCA'!$F$9:$F$564,"deducao_fundeb")=0,"",ABS(SUMIFS('Dados DCA'!$L$9:$L$564,'Dados DCA'!$C$9:$C$564,$C25,'Dados DCA'!$E$9:$E$564,$D25,'Dados DCA'!$F$9:$F$564,"deducao_fundeb")))</f>
        <v>15828698.36</v>
      </c>
      <c r="G25" s="6" t="n">
        <f aca="false">IF(COUNTIFS('Dados DCA'!$C$9:$C$564,$C25,'Dados DCA'!$E$9:$E$564,$D25,'Dados DCA'!$F$9:$F$564,"outras_deducoes")=0,"",ABS(SUMIFS('Dados DCA'!$L$9:$L$564,'Dados DCA'!$C$9:$C$564,$C25,'Dados DCA'!$E$9:$E$564,$D25,'Dados DCA'!$F$9:$F$564,"outras_deducoes")))</f>
        <v>323515.54</v>
      </c>
      <c r="H25" s="18" t="n">
        <f aca="false">IF(OR(E25="",F25=""),"",E25-F25-IF(G25="",0,G25))</f>
        <v>217837269.53</v>
      </c>
      <c r="I25" s="6" t="n">
        <f aca="false">IF(COUNTIFS('Dados DCA'!$C$9:$C$564,$C25,'Dados DCA'!$E$9:$E$564,$D25,'Dados DCA'!$F$9:$F$564,"despesa_empenhada_total")=0,"",SUMIFS('Dados DCA'!$L$9:$L$564,'Dados DCA'!$C$9:$C$564,$C25,'Dados DCA'!$E$9:$E$564,$D25,'Dados DCA'!$F$9:$F$564,"despesa_empenhada_total"))</f>
        <v>207998378.44</v>
      </c>
      <c r="J25" s="6" t="n">
        <f aca="false">IF(COUNTIFS('Dados DCA'!$C$9:$C$564,$C25,'Dados DCA'!$E$9:$E$564,$D25,'Dados DCA'!$F$9:$F$564,"despesa_liquidada_total")=0,"",SUMIFS('Dados DCA'!$L$9:$L$564,'Dados DCA'!$C$9:$C$564,$C25,'Dados DCA'!$E$9:$E$564,$D25,'Dados DCA'!$F$9:$F$564,"despesa_liquidada_total"))</f>
        <v>205339518.69</v>
      </c>
      <c r="K25" s="6" t="n">
        <f aca="false">IF(COUNTIFS('Dados DCA'!$C$9:$C$564,$C25,'Dados DCA'!$E$9:$E$564,$D25,'Dados DCA'!$F$9:$F$564,"despesa_paga_total")=0,"",SUMIFS('Dados DCA'!$L$9:$L$564,'Dados DCA'!$C$9:$C$564,$C25,'Dados DCA'!$E$9:$E$564,$D25,'Dados DCA'!$F$9:$F$564,"despesa_paga_total"))</f>
        <v>204037705.23</v>
      </c>
      <c r="L25" s="6" t="n">
        <f aca="false">IF(COUNTIFS('Dados DCA'!$C$9:$C$564,$C25,'Dados DCA'!$E$9:$E$564,$D25,'Dados DCA'!$F$9:$F$564,"despesa_empenhada_exceto_intra")=0,"",SUMIFS('Dados DCA'!$L$9:$L$564,'Dados DCA'!$C$9:$C$564,$C25,'Dados DCA'!$E$9:$E$564,$D25,'Dados DCA'!$F$9:$F$564,"despesa_empenhada_exceto_intra"))</f>
        <v>190611309.08</v>
      </c>
      <c r="M25" s="18" t="n">
        <f aca="false">IF(OR(I25="",L25=""),"",I25-L25)</f>
        <v>17387069.36</v>
      </c>
      <c r="N25" s="6" t="n">
        <f aca="false">IF(COUNTIFS('Dados DCA'!$C$9:$C$564,$C25,'Dados DCA'!$E$9:$E$564,$D25,'Dados DCA'!$F$9:$F$564,"receita_tributaria_propria_bruta")=0,"",SUMIFS('Dados DCA'!$L$9:$L$564,'Dados DCA'!$C$9:$C$564,$C25,'Dados DCA'!$E$9:$E$564,$D25,'Dados DCA'!$F$9:$F$564,"receita_tributaria_propria_bruta"))</f>
        <v>14460921.84</v>
      </c>
      <c r="O25" s="6" t="n">
        <f aca="false">IF(COUNTIFS('Dados DCA'!$C$9:$C$564,$C25,'Dados DCA'!$E$9:$E$564,$D25,'Dados DCA'!$F$9:$F$564,"transferencias_correntes_total_brutas")=0,"",SUMIFS('Dados DCA'!$L$9:$L$564,'Dados DCA'!$C$9:$C$564,$C25,'Dados DCA'!$E$9:$E$564,$D25,'Dados DCA'!$F$9:$F$564,"transferencias_correntes_total_brutas"))</f>
        <v>183600561.15</v>
      </c>
      <c r="P25" s="6" t="n">
        <f aca="false">IF(COUNTIFS('Dados DCA'!$C$9:$C$564,$C25,'Dados DCA'!$E$9:$E$564,$D25,'Dados DCA'!$F$9:$F$564,"transferencias_intergov_correntes_proxy")=0,"",SUMIFS('Dados DCA'!$L$9:$L$564,'Dados DCA'!$C$9:$C$564,$C25,'Dados DCA'!$E$9:$E$564,$D25,'Dados DCA'!$F$9:$F$564,"transferencias_intergov_correntes_proxy"))</f>
        <v>129396773.81</v>
      </c>
      <c r="Q25" s="19" t="n">
        <f aca="false">IF(COUNTIFS('Dados IBGE'!$C$9:$C$164,$C25,'Dados IBGE'!$E$9:$E$164,$D25,'Dados IBGE'!$G$9:$G$164,"pop_censo")&gt;0,SUMIFS('Dados IBGE'!$J$9:$J$164,'Dados IBGE'!$C$9:$C$164,$C25,'Dados IBGE'!$E$9:$E$164,$D25,'Dados IBGE'!$G$9:$G$164,"pop_censo"),IF(COUNTIFS('Dados IBGE'!$C$9:$C$164,$C25,'Dados IBGE'!$E$9:$E$164,$D25,'Dados IBGE'!$G$9:$G$164,"pop_estimada")=0,"",SUMIFS('Dados IBGE'!$J$9:$J$164,'Dados IBGE'!$C$9:$C$164,$C25,'Dados IBGE'!$E$9:$E$164,$D25,'Dados IBGE'!$G$9:$G$164,"pop_estimada")))</f>
        <v>85301</v>
      </c>
      <c r="R25" s="6" t="n">
        <f aca="false">IF(COUNTIFS('Dados IBGE'!$C$9:$C$164,$C25,'Dados IBGE'!$E$9:$E$164,$D25,'Dados IBGE'!$G$9:$G$164,"pib")=0,"",SUMIFS('Dados IBGE'!$J$9:$J$164,'Dados IBGE'!$C$9:$C$164,$C25,'Dados IBGE'!$E$9:$E$164,$D25,'Dados IBGE'!$G$9:$G$164,"pib")*1000)</f>
        <v>1272092000</v>
      </c>
      <c r="S25" s="20" t="n">
        <f aca="false">IF(COUNTIFS('Dados IBGE'!$E$9:$E$164,$D25,'Dados IBGE'!$G$9:$G$164,"ipca")&lt;&gt;12,"",SUMIFS('Dados IBGE'!$J$9:$J$164,'Dados IBGE'!$E$9:$E$164,$D25,'Dados IBGE'!$G$9:$G$164,"ipca")/12)</f>
        <v>5827.78</v>
      </c>
      <c r="T25" s="20" t="n">
        <f aca="false">IF(OR(S25="",S25=0),"",AVERAGEIFS('Dados IBGE'!$J$9:$J$164,'Dados IBGE'!$E$9:$E$164,2024,'Dados IBGE'!$G$9:$G$164,"ipca")/S25)</f>
        <v>1.19291965951586</v>
      </c>
      <c r="U25" s="18" t="n">
        <f aca="false">IF(OR(E25="",T25=""),"",E25*T25)</f>
        <v>279130654.903607</v>
      </c>
      <c r="V25" s="18" t="n">
        <f aca="false">IF(OR(I25="",T25=""),"",I25*T25)</f>
        <v>248125354.788496</v>
      </c>
      <c r="W25" s="18" t="n">
        <f aca="false">IF(OR(Q25="",Q25=0,U25=""),"",U25/Q25)</f>
        <v>3272.30225792907</v>
      </c>
      <c r="X25" s="18" t="n">
        <f aca="false">IF(OR(Q25="",Q25=0,V25=""),"",V25/Q25)</f>
        <v>2908.82117194987</v>
      </c>
      <c r="Y25" s="21" t="n">
        <f aca="false">IF(OR(E25="",E25=0,N25=""),"",N25/E25)</f>
        <v>0.061801588806559</v>
      </c>
      <c r="Z25" s="21" t="n">
        <f aca="false">IF(OR(E25="",E25=0,O25=""),"",O25/E25)</f>
        <v>0.784653047045705</v>
      </c>
      <c r="AA25" s="21" t="n">
        <f aca="false">IF(OR(R25="",R25=0,E25=""),"",E25/R25)</f>
        <v>0.183940692520667</v>
      </c>
      <c r="AB25" s="21" t="n">
        <f aca="false">IF(OR(R25="",R25=0,I25=""),"",I25/R25)</f>
        <v>0.163508911651044</v>
      </c>
      <c r="AC25" s="6" t="n">
        <f aca="false">IF(COUNTIFS('Dados DCA'!$C$9:$C$564,$C25,'Dados DCA'!$E$9:$E$564,$D25,'Dados DCA'!$F$9:$F$564,"receita_exceto_intra_bruta")=0,"",SUMIFS('Dados DCA'!$L$9:$L$564,'Dados DCA'!$C$9:$C$564,$C25,'Dados DCA'!$E$9:$E$564,$D25,'Dados DCA'!$F$9:$F$564,"receita_exceto_intra_bruta"))</f>
        <v>216848393.58</v>
      </c>
      <c r="AD25" s="6" t="n">
        <f aca="false">IF(COUNTIFS('Dados DCA'!$C$9:$C$564,$C25,'Dados DCA'!$E$9:$E$564,$D25,'Dados DCA'!$F$9:$F$564,"receita_intra_bruta")=0,"",SUMIFS('Dados DCA'!$L$9:$L$564,'Dados DCA'!$C$9:$C$564,$C25,'Dados DCA'!$E$9:$E$564,$D25,'Dados DCA'!$F$9:$F$564,"receita_intra_bruta"))</f>
        <v>17141089.85</v>
      </c>
    </row>
    <row r="26" customFormat="false" ht="15" hidden="false" customHeight="false" outlineLevel="0" collapsed="false">
      <c r="C26" s="12" t="s">
        <v>6</v>
      </c>
      <c r="D26" s="13" t="n">
        <v>2022</v>
      </c>
      <c r="E26" s="6" t="n">
        <f aca="false">IF(COUNTIFS('Dados DCA'!$C$9:$C$564,$C26,'Dados DCA'!$E$9:$E$564,$D26,'Dados DCA'!$F$9:$F$564,"receita_total_bruta")=0,"",SUMIFS('Dados DCA'!$L$9:$L$564,'Dados DCA'!$C$9:$C$564,$C26,'Dados DCA'!$E$9:$E$564,$D26,'Dados DCA'!$F$9:$F$564,"receita_total_bruta"))</f>
        <v>291124781.78</v>
      </c>
      <c r="F26" s="6" t="n">
        <f aca="false">IF(COUNTIFS('Dados DCA'!$C$9:$C$564,$C26,'Dados DCA'!$E$9:$E$564,$D26,'Dados DCA'!$F$9:$F$564,"deducao_fundeb")=0,"",ABS(SUMIFS('Dados DCA'!$L$9:$L$564,'Dados DCA'!$C$9:$C$564,$C26,'Dados DCA'!$E$9:$E$564,$D26,'Dados DCA'!$F$9:$F$564,"deducao_fundeb")))</f>
        <v>18837812.19</v>
      </c>
      <c r="G26" s="6" t="str">
        <f aca="false">IF(COUNTIFS('Dados DCA'!$C$9:$C$564,$C26,'Dados DCA'!$E$9:$E$564,$D26,'Dados DCA'!$F$9:$F$564,"outras_deducoes")=0,"",ABS(SUMIFS('Dados DCA'!$L$9:$L$564,'Dados DCA'!$C$9:$C$564,$C26,'Dados DCA'!$E$9:$E$564,$D26,'Dados DCA'!$F$9:$F$564,"outras_deducoes")))</f>
        <v/>
      </c>
      <c r="H26" s="18" t="n">
        <f aca="false">IF(OR(E26="",F26=""),"",E26-F26-IF(G26="",0,G26))</f>
        <v>272286969.59</v>
      </c>
      <c r="I26" s="6" t="n">
        <f aca="false">IF(COUNTIFS('Dados DCA'!$C$9:$C$564,$C26,'Dados DCA'!$E$9:$E$564,$D26,'Dados DCA'!$F$9:$F$564,"despesa_empenhada_total")=0,"",SUMIFS('Dados DCA'!$L$9:$L$564,'Dados DCA'!$C$9:$C$564,$C26,'Dados DCA'!$E$9:$E$564,$D26,'Dados DCA'!$F$9:$F$564,"despesa_empenhada_total"))</f>
        <v>267976817.63</v>
      </c>
      <c r="J26" s="6" t="n">
        <f aca="false">IF(COUNTIFS('Dados DCA'!$C$9:$C$564,$C26,'Dados DCA'!$E$9:$E$564,$D26,'Dados DCA'!$F$9:$F$564,"despesa_liquidada_total")=0,"",SUMIFS('Dados DCA'!$L$9:$L$564,'Dados DCA'!$C$9:$C$564,$C26,'Dados DCA'!$E$9:$E$564,$D26,'Dados DCA'!$F$9:$F$564,"despesa_liquidada_total"))</f>
        <v>267971017.63</v>
      </c>
      <c r="K26" s="6" t="n">
        <f aca="false">IF(COUNTIFS('Dados DCA'!$C$9:$C$564,$C26,'Dados DCA'!$E$9:$E$564,$D26,'Dados DCA'!$F$9:$F$564,"despesa_paga_total")=0,"",SUMIFS('Dados DCA'!$L$9:$L$564,'Dados DCA'!$C$9:$C$564,$C26,'Dados DCA'!$E$9:$E$564,$D26,'Dados DCA'!$F$9:$F$564,"despesa_paga_total"))</f>
        <v>264059316.06</v>
      </c>
      <c r="L26" s="6" t="n">
        <f aca="false">IF(COUNTIFS('Dados DCA'!$C$9:$C$564,$C26,'Dados DCA'!$E$9:$E$564,$D26,'Dados DCA'!$F$9:$F$564,"despesa_empenhada_exceto_intra")=0,"",SUMIFS('Dados DCA'!$L$9:$L$564,'Dados DCA'!$C$9:$C$564,$C26,'Dados DCA'!$E$9:$E$564,$D26,'Dados DCA'!$F$9:$F$564,"despesa_empenhada_exceto_intra"))</f>
        <v>251652325.66</v>
      </c>
      <c r="M26" s="18" t="n">
        <f aca="false">IF(OR(I26="",L26=""),"",I26-L26)</f>
        <v>16324491.97</v>
      </c>
      <c r="N26" s="6" t="n">
        <f aca="false">IF(COUNTIFS('Dados DCA'!$C$9:$C$564,$C26,'Dados DCA'!$E$9:$E$564,$D26,'Dados DCA'!$F$9:$F$564,"receita_tributaria_propria_bruta")=0,"",SUMIFS('Dados DCA'!$L$9:$L$564,'Dados DCA'!$C$9:$C$564,$C26,'Dados DCA'!$E$9:$E$564,$D26,'Dados DCA'!$F$9:$F$564,"receita_tributaria_propria_bruta"))</f>
        <v>17317435.6</v>
      </c>
      <c r="O26" s="6" t="n">
        <f aca="false">IF(COUNTIFS('Dados DCA'!$C$9:$C$564,$C26,'Dados DCA'!$E$9:$E$564,$D26,'Dados DCA'!$F$9:$F$564,"transferencias_correntes_total_brutas")=0,"",SUMIFS('Dados DCA'!$L$9:$L$564,'Dados DCA'!$C$9:$C$564,$C26,'Dados DCA'!$E$9:$E$564,$D26,'Dados DCA'!$F$9:$F$564,"transferencias_correntes_total_brutas"))</f>
        <v>235986870.97</v>
      </c>
      <c r="P26" s="6" t="n">
        <f aca="false">IF(COUNTIFS('Dados DCA'!$C$9:$C$564,$C26,'Dados DCA'!$E$9:$E$564,$D26,'Dados DCA'!$F$9:$F$564,"transferencias_intergov_correntes_proxy")=0,"",SUMIFS('Dados DCA'!$L$9:$L$564,'Dados DCA'!$C$9:$C$564,$C26,'Dados DCA'!$E$9:$E$564,$D26,'Dados DCA'!$F$9:$F$564,"transferencias_intergov_correntes_proxy"))</f>
        <v>175590491.57</v>
      </c>
      <c r="Q26" s="19" t="n">
        <f aca="false">IF(COUNTIFS('Dados IBGE'!$C$9:$C$164,$C26,'Dados IBGE'!$E$9:$E$164,$D26,'Dados IBGE'!$G$9:$G$164,"pop_censo")&gt;0,SUMIFS('Dados IBGE'!$J$9:$J$164,'Dados IBGE'!$C$9:$C$164,$C26,'Dados IBGE'!$E$9:$E$164,$D26,'Dados IBGE'!$G$9:$G$164,"pop_censo"),IF(COUNTIFS('Dados IBGE'!$C$9:$C$164,$C26,'Dados IBGE'!$E$9:$E$164,$D26,'Dados IBGE'!$G$9:$G$164,"pop_estimada")=0,"",SUMIFS('Dados IBGE'!$J$9:$J$164,'Dados IBGE'!$C$9:$C$164,$C26,'Dados IBGE'!$E$9:$E$164,$D26,'Dados IBGE'!$G$9:$G$164,"pop_estimada")))</f>
        <v>85088</v>
      </c>
      <c r="R26" s="6" t="n">
        <f aca="false">IF(COUNTIFS('Dados IBGE'!$C$9:$C$164,$C26,'Dados IBGE'!$E$9:$E$164,$D26,'Dados IBGE'!$G$9:$G$164,"pib")=0,"",SUMIFS('Dados IBGE'!$J$9:$J$164,'Dados IBGE'!$C$9:$C$164,$C26,'Dados IBGE'!$E$9:$E$164,$D26,'Dados IBGE'!$G$9:$G$164,"pib")*1000)</f>
        <v>1539413000</v>
      </c>
      <c r="S26" s="20" t="n">
        <f aca="false">IF(COUNTIFS('Dados IBGE'!$E$9:$E$164,$D26,'Dados IBGE'!$G$9:$G$164,"ipca")&lt;&gt;12,"",SUMIFS('Dados IBGE'!$J$9:$J$164,'Dados IBGE'!$E$9:$E$164,$D26,'Dados IBGE'!$G$9:$G$164,"ipca")/12)</f>
        <v>6368.60416666667</v>
      </c>
      <c r="T26" s="20" t="n">
        <f aca="false">IF(OR(S26="",S26=0),"",AVERAGEIFS('Dados IBGE'!$J$9:$J$164,'Dados IBGE'!$E$9:$E$164,2024,'Dados IBGE'!$G$9:$G$164,"ipca")/S26)</f>
        <v>1.09161649105475</v>
      </c>
      <c r="U26" s="18" t="n">
        <f aca="false">IF(OR(E26="",T26=""),"",E26*T26)</f>
        <v>317796612.745764</v>
      </c>
      <c r="V26" s="18" t="n">
        <f aca="false">IF(OR(I26="",T26=""),"",I26*T26)</f>
        <v>292527913.34528</v>
      </c>
      <c r="W26" s="18" t="n">
        <f aca="false">IF(OR(Q26="",Q26=0,U26=""),"",U26/Q26)</f>
        <v>3734.91694182216</v>
      </c>
      <c r="X26" s="18" t="n">
        <f aca="false">IF(OR(Q26="",Q26=0,V26=""),"",V26/Q26)</f>
        <v>3437.94557805189</v>
      </c>
      <c r="Y26" s="21" t="n">
        <f aca="false">IF(OR(E26="",E26=0,N26=""),"",N26/E26)</f>
        <v>0.0594845807839424</v>
      </c>
      <c r="Z26" s="21" t="n">
        <f aca="false">IF(OR(E26="",E26=0,O26=""),"",O26/E26)</f>
        <v>0.810603856968566</v>
      </c>
      <c r="AA26" s="21" t="n">
        <f aca="false">IF(OR(R26="",R26=0,E26=""),"",E26/R26)</f>
        <v>0.189114150510617</v>
      </c>
      <c r="AB26" s="21" t="n">
        <f aca="false">IF(OR(R26="",R26=0,I26=""),"",I26/R26)</f>
        <v>0.174077273369784</v>
      </c>
      <c r="AC26" s="6" t="n">
        <f aca="false">IF(COUNTIFS('Dados DCA'!$C$9:$C$564,$C26,'Dados DCA'!$E$9:$E$564,$D26,'Dados DCA'!$F$9:$F$564,"receita_exceto_intra_bruta")=0,"",SUMIFS('Dados DCA'!$L$9:$L$564,'Dados DCA'!$C$9:$C$564,$C26,'Dados DCA'!$E$9:$E$564,$D26,'Dados DCA'!$F$9:$F$564,"receita_exceto_intra_bruta"))</f>
        <v>275048363.6</v>
      </c>
      <c r="AD26" s="6" t="n">
        <f aca="false">IF(COUNTIFS('Dados DCA'!$C$9:$C$564,$C26,'Dados DCA'!$E$9:$E$564,$D26,'Dados DCA'!$F$9:$F$564,"receita_intra_bruta")=0,"",SUMIFS('Dados DCA'!$L$9:$L$564,'Dados DCA'!$C$9:$C$564,$C26,'Dados DCA'!$E$9:$E$564,$D26,'Dados DCA'!$F$9:$F$564,"receita_intra_bruta"))</f>
        <v>16076418.18</v>
      </c>
    </row>
    <row r="27" customFormat="false" ht="15" hidden="false" customHeight="false" outlineLevel="0" collapsed="false">
      <c r="C27" s="12" t="s">
        <v>6</v>
      </c>
      <c r="D27" s="13" t="n">
        <v>2023</v>
      </c>
      <c r="E27" s="6" t="n">
        <f aca="false">IF(COUNTIFS('Dados DCA'!$C$9:$C$564,$C27,'Dados DCA'!$E$9:$E$564,$D27,'Dados DCA'!$F$9:$F$564,"receita_total_bruta")=0,"",SUMIFS('Dados DCA'!$L$9:$L$564,'Dados DCA'!$C$9:$C$564,$C27,'Dados DCA'!$E$9:$E$564,$D27,'Dados DCA'!$F$9:$F$564,"receita_total_bruta"))</f>
        <v>351842882.26</v>
      </c>
      <c r="F27" s="6" t="n">
        <f aca="false">IF(COUNTIFS('Dados DCA'!$C$9:$C$564,$C27,'Dados DCA'!$E$9:$E$564,$D27,'Dados DCA'!$F$9:$F$564,"deducao_fundeb")=0,"",ABS(SUMIFS('Dados DCA'!$L$9:$L$564,'Dados DCA'!$C$9:$C$564,$C27,'Dados DCA'!$E$9:$E$564,$D27,'Dados DCA'!$F$9:$F$564,"deducao_fundeb")))</f>
        <v>19247389.5</v>
      </c>
      <c r="G27" s="6" t="n">
        <f aca="false">IF(COUNTIFS('Dados DCA'!$C$9:$C$564,$C27,'Dados DCA'!$E$9:$E$564,$D27,'Dados DCA'!$F$9:$F$564,"outras_deducoes")=0,"",ABS(SUMIFS('Dados DCA'!$L$9:$L$564,'Dados DCA'!$C$9:$C$564,$C27,'Dados DCA'!$E$9:$E$564,$D27,'Dados DCA'!$F$9:$F$564,"outras_deducoes")))</f>
        <v>1406366.72</v>
      </c>
      <c r="H27" s="18" t="n">
        <f aca="false">IF(OR(E27="",F27=""),"",E27-F27-IF(G27="",0,G27))</f>
        <v>331189126.04</v>
      </c>
      <c r="I27" s="6" t="n">
        <f aca="false">IF(COUNTIFS('Dados DCA'!$C$9:$C$564,$C27,'Dados DCA'!$E$9:$E$564,$D27,'Dados DCA'!$F$9:$F$564,"despesa_empenhada_total")=0,"",SUMIFS('Dados DCA'!$L$9:$L$564,'Dados DCA'!$C$9:$C$564,$C27,'Dados DCA'!$E$9:$E$564,$D27,'Dados DCA'!$F$9:$F$564,"despesa_empenhada_total"))</f>
        <v>303646905.45</v>
      </c>
      <c r="J27" s="6" t="n">
        <f aca="false">IF(COUNTIFS('Dados DCA'!$C$9:$C$564,$C27,'Dados DCA'!$E$9:$E$564,$D27,'Dados DCA'!$F$9:$F$564,"despesa_liquidada_total")=0,"",SUMIFS('Dados DCA'!$L$9:$L$564,'Dados DCA'!$C$9:$C$564,$C27,'Dados DCA'!$E$9:$E$564,$D27,'Dados DCA'!$F$9:$F$564,"despesa_liquidada_total"))</f>
        <v>303646901.45</v>
      </c>
      <c r="K27" s="6" t="n">
        <f aca="false">IF(COUNTIFS('Dados DCA'!$C$9:$C$564,$C27,'Dados DCA'!$E$9:$E$564,$D27,'Dados DCA'!$F$9:$F$564,"despesa_paga_total")=0,"",SUMIFS('Dados DCA'!$L$9:$L$564,'Dados DCA'!$C$9:$C$564,$C27,'Dados DCA'!$E$9:$E$564,$D27,'Dados DCA'!$F$9:$F$564,"despesa_paga_total"))</f>
        <v>302628832.44</v>
      </c>
      <c r="L27" s="6" t="n">
        <f aca="false">IF(COUNTIFS('Dados DCA'!$C$9:$C$564,$C27,'Dados DCA'!$E$9:$E$564,$D27,'Dados DCA'!$F$9:$F$564,"despesa_empenhada_exceto_intra")=0,"",SUMIFS('Dados DCA'!$L$9:$L$564,'Dados DCA'!$C$9:$C$564,$C27,'Dados DCA'!$E$9:$E$564,$D27,'Dados DCA'!$F$9:$F$564,"despesa_empenhada_exceto_intra"))</f>
        <v>279349246.37</v>
      </c>
      <c r="M27" s="18" t="n">
        <f aca="false">IF(OR(I27="",L27=""),"",I27-L27)</f>
        <v>24297659.08</v>
      </c>
      <c r="N27" s="6" t="n">
        <f aca="false">IF(COUNTIFS('Dados DCA'!$C$9:$C$564,$C27,'Dados DCA'!$E$9:$E$564,$D27,'Dados DCA'!$F$9:$F$564,"receita_tributaria_propria_bruta")=0,"",SUMIFS('Dados DCA'!$L$9:$L$564,'Dados DCA'!$C$9:$C$564,$C27,'Dados DCA'!$E$9:$E$564,$D27,'Dados DCA'!$F$9:$F$564,"receita_tributaria_propria_bruta"))</f>
        <v>23037429.83</v>
      </c>
      <c r="O27" s="6" t="n">
        <f aca="false">IF(COUNTIFS('Dados DCA'!$C$9:$C$564,$C27,'Dados DCA'!$E$9:$E$564,$D27,'Dados DCA'!$F$9:$F$564,"transferencias_correntes_total_brutas")=0,"",SUMIFS('Dados DCA'!$L$9:$L$564,'Dados DCA'!$C$9:$C$564,$C27,'Dados DCA'!$E$9:$E$564,$D27,'Dados DCA'!$F$9:$F$564,"transferencias_correntes_total_brutas"))</f>
        <v>242880007.36</v>
      </c>
      <c r="P27" s="6" t="n">
        <f aca="false">IF(COUNTIFS('Dados DCA'!$C$9:$C$564,$C27,'Dados DCA'!$E$9:$E$564,$D27,'Dados DCA'!$F$9:$F$564,"transferencias_intergov_correntes_proxy")=0,"",SUMIFS('Dados DCA'!$L$9:$L$564,'Dados DCA'!$C$9:$C$564,$C27,'Dados DCA'!$E$9:$E$564,$D27,'Dados DCA'!$F$9:$F$564,"transferencias_intergov_correntes_proxy"))</f>
        <v>179622132.77</v>
      </c>
      <c r="Q27" s="19" t="str">
        <f aca="false">IF(COUNTIFS('Dados IBGE'!$C$9:$C$164,$C27,'Dados IBGE'!$E$9:$E$164,$D27,'Dados IBGE'!$G$9:$G$164,"pop_censo")&gt;0,SUMIFS('Dados IBGE'!$J$9:$J$164,'Dados IBGE'!$C$9:$C$164,$C27,'Dados IBGE'!$E$9:$E$164,$D27,'Dados IBGE'!$G$9:$G$164,"pop_censo"),IF(COUNTIFS('Dados IBGE'!$C$9:$C$164,$C27,'Dados IBGE'!$E$9:$E$164,$D27,'Dados IBGE'!$G$9:$G$164,"pop_estimada")=0,"",SUMIFS('Dados IBGE'!$J$9:$J$164,'Dados IBGE'!$C$9:$C$164,$C27,'Dados IBGE'!$E$9:$E$164,$D27,'Dados IBGE'!$G$9:$G$164,"pop_estimada")))</f>
        <v/>
      </c>
      <c r="R27" s="6" t="n">
        <f aca="false">IF(COUNTIFS('Dados IBGE'!$C$9:$C$164,$C27,'Dados IBGE'!$E$9:$E$164,$D27,'Dados IBGE'!$G$9:$G$164,"pib")=0,"",SUMIFS('Dados IBGE'!$J$9:$J$164,'Dados IBGE'!$C$9:$C$164,$C27,'Dados IBGE'!$E$9:$E$164,$D27,'Dados IBGE'!$G$9:$G$164,"pib")*1000)</f>
        <v>1777713000</v>
      </c>
      <c r="S27" s="20" t="n">
        <f aca="false">IF(COUNTIFS('Dados IBGE'!$E$9:$E$164,$D27,'Dados IBGE'!$G$9:$G$164,"ipca")&lt;&gt;12,"",SUMIFS('Dados IBGE'!$J$9:$J$164,'Dados IBGE'!$E$9:$E$164,$D27,'Dados IBGE'!$G$9:$G$164,"ipca")/12)</f>
        <v>6661.15</v>
      </c>
      <c r="T27" s="20" t="n">
        <f aca="false">IF(OR(S27="",S27=0),"",AVERAGEIFS('Dados IBGE'!$J$9:$J$164,'Dados IBGE'!$E$9:$E$164,2024,'Dados IBGE'!$G$9:$G$164,"ipca")/S27)</f>
        <v>1.04367464076523</v>
      </c>
      <c r="U27" s="18" t="n">
        <f aca="false">IF(OR(E27="",T27=""),"",E27*T27)</f>
        <v>367209493.74851</v>
      </c>
      <c r="V27" s="18" t="n">
        <f aca="false">IF(OR(I27="",T27=""),"",I27*T27)</f>
        <v>316908574.965004</v>
      </c>
      <c r="W27" s="18" t="str">
        <f aca="false">IF(OR(Q27="",Q27=0,U27=""),"",U27/Q27)</f>
        <v/>
      </c>
      <c r="X27" s="18" t="str">
        <f aca="false">IF(OR(Q27="",Q27=0,V27=""),"",V27/Q27)</f>
        <v/>
      </c>
      <c r="Y27" s="21" t="n">
        <f aca="false">IF(OR(E27="",E27=0,N27=""),"",N27/E27)</f>
        <v>0.0654764697299635</v>
      </c>
      <c r="Z27" s="21" t="n">
        <f aca="false">IF(OR(E27="",E27=0,O27=""),"",O27/E27)</f>
        <v>0.690308144930782</v>
      </c>
      <c r="AA27" s="21" t="n">
        <f aca="false">IF(OR(R27="",R27=0,E27=""),"",E27/R27)</f>
        <v>0.197918832938725</v>
      </c>
      <c r="AB27" s="21" t="n">
        <f aca="false">IF(OR(R27="",R27=0,I27=""),"",I27/R27)</f>
        <v>0.170807608117846</v>
      </c>
      <c r="AC27" s="6" t="n">
        <f aca="false">IF(COUNTIFS('Dados DCA'!$C$9:$C$564,$C27,'Dados DCA'!$E$9:$E$564,$D27,'Dados DCA'!$F$9:$F$564,"receita_exceto_intra_bruta")=0,"",SUMIFS('Dados DCA'!$L$9:$L$564,'Dados DCA'!$C$9:$C$564,$C27,'Dados DCA'!$E$9:$E$564,$D27,'Dados DCA'!$F$9:$F$564,"receita_exceto_intra_bruta"))</f>
        <v>327535972.07</v>
      </c>
      <c r="AD27" s="6" t="n">
        <f aca="false">IF(COUNTIFS('Dados DCA'!$C$9:$C$564,$C27,'Dados DCA'!$E$9:$E$564,$D27,'Dados DCA'!$F$9:$F$564,"receita_intra_bruta")=0,"",SUMIFS('Dados DCA'!$L$9:$L$564,'Dados DCA'!$C$9:$C$564,$C27,'Dados DCA'!$E$9:$E$564,$D27,'Dados DCA'!$F$9:$F$564,"receita_intra_bruta"))</f>
        <v>24306910.19</v>
      </c>
    </row>
    <row r="28" customFormat="false" ht="15" hidden="false" customHeight="false" outlineLevel="0" collapsed="false">
      <c r="C28" s="12" t="s">
        <v>6</v>
      </c>
      <c r="D28" s="13" t="n">
        <v>2024</v>
      </c>
      <c r="E28" s="6" t="n">
        <f aca="false">IF(COUNTIFS('Dados DCA'!$C$9:$C$564,$C28,'Dados DCA'!$E$9:$E$564,$D28,'Dados DCA'!$F$9:$F$564,"receita_total_bruta")=0,"",SUMIFS('Dados DCA'!$L$9:$L$564,'Dados DCA'!$C$9:$C$564,$C28,'Dados DCA'!$E$9:$E$564,$D28,'Dados DCA'!$F$9:$F$564,"receita_total_bruta"))</f>
        <v>406750338.2</v>
      </c>
      <c r="F28" s="6" t="n">
        <f aca="false">IF(COUNTIFS('Dados DCA'!$C$9:$C$564,$C28,'Dados DCA'!$E$9:$E$564,$D28,'Dados DCA'!$F$9:$F$564,"deducao_fundeb")=0,"",ABS(SUMIFS('Dados DCA'!$L$9:$L$564,'Dados DCA'!$C$9:$C$564,$C28,'Dados DCA'!$E$9:$E$564,$D28,'Dados DCA'!$F$9:$F$564,"deducao_fundeb")))</f>
        <v>23207682.45</v>
      </c>
      <c r="G28" s="6" t="n">
        <f aca="false">IF(COUNTIFS('Dados DCA'!$C$9:$C$564,$C28,'Dados DCA'!$E$9:$E$564,$D28,'Dados DCA'!$F$9:$F$564,"outras_deducoes")=0,"",ABS(SUMIFS('Dados DCA'!$L$9:$L$564,'Dados DCA'!$C$9:$C$564,$C28,'Dados DCA'!$E$9:$E$564,$D28,'Dados DCA'!$F$9:$F$564,"outras_deducoes")))</f>
        <v>227714.97</v>
      </c>
      <c r="H28" s="18" t="n">
        <f aca="false">IF(OR(E28="",F28=""),"",E28-F28-IF(G28="",0,G28))</f>
        <v>383314940.78</v>
      </c>
      <c r="I28" s="6" t="n">
        <f aca="false">IF(COUNTIFS('Dados DCA'!$C$9:$C$564,$C28,'Dados DCA'!$E$9:$E$564,$D28,'Dados DCA'!$F$9:$F$564,"despesa_empenhada_total")=0,"",SUMIFS('Dados DCA'!$L$9:$L$564,'Dados DCA'!$C$9:$C$564,$C28,'Dados DCA'!$E$9:$E$564,$D28,'Dados DCA'!$F$9:$F$564,"despesa_empenhada_total"))</f>
        <v>399934864.27</v>
      </c>
      <c r="J28" s="6" t="n">
        <f aca="false">IF(COUNTIFS('Dados DCA'!$C$9:$C$564,$C28,'Dados DCA'!$E$9:$E$564,$D28,'Dados DCA'!$F$9:$F$564,"despesa_liquidada_total")=0,"",SUMIFS('Dados DCA'!$L$9:$L$564,'Dados DCA'!$C$9:$C$564,$C28,'Dados DCA'!$E$9:$E$564,$D28,'Dados DCA'!$F$9:$F$564,"despesa_liquidada_total"))</f>
        <v>399934864.27</v>
      </c>
      <c r="K28" s="6" t="n">
        <f aca="false">IF(COUNTIFS('Dados DCA'!$C$9:$C$564,$C28,'Dados DCA'!$E$9:$E$564,$D28,'Dados DCA'!$F$9:$F$564,"despesa_paga_total")=0,"",SUMIFS('Dados DCA'!$L$9:$L$564,'Dados DCA'!$C$9:$C$564,$C28,'Dados DCA'!$E$9:$E$564,$D28,'Dados DCA'!$F$9:$F$564,"despesa_paga_total"))</f>
        <v>395507881.72</v>
      </c>
      <c r="L28" s="6" t="n">
        <f aca="false">IF(COUNTIFS('Dados DCA'!$C$9:$C$564,$C28,'Dados DCA'!$E$9:$E$564,$D28,'Dados DCA'!$F$9:$F$564,"despesa_empenhada_exceto_intra")=0,"",SUMIFS('Dados DCA'!$L$9:$L$564,'Dados DCA'!$C$9:$C$564,$C28,'Dados DCA'!$E$9:$E$564,$D28,'Dados DCA'!$F$9:$F$564,"despesa_empenhada_exceto_intra"))</f>
        <v>368226167.64</v>
      </c>
      <c r="M28" s="18" t="n">
        <f aca="false">IF(OR(I28="",L28=""),"",I28-L28)</f>
        <v>31708696.63</v>
      </c>
      <c r="N28" s="6" t="n">
        <f aca="false">IF(COUNTIFS('Dados DCA'!$C$9:$C$564,$C28,'Dados DCA'!$E$9:$E$564,$D28,'Dados DCA'!$F$9:$F$564,"receita_tributaria_propria_bruta")=0,"",SUMIFS('Dados DCA'!$L$9:$L$564,'Dados DCA'!$C$9:$C$564,$C28,'Dados DCA'!$E$9:$E$564,$D28,'Dados DCA'!$F$9:$F$564,"receita_tributaria_propria_bruta"))</f>
        <v>26108586.75</v>
      </c>
      <c r="O28" s="6" t="n">
        <f aca="false">IF(COUNTIFS('Dados DCA'!$C$9:$C$564,$C28,'Dados DCA'!$E$9:$E$564,$D28,'Dados DCA'!$F$9:$F$564,"transferencias_correntes_total_brutas")=0,"",SUMIFS('Dados DCA'!$L$9:$L$564,'Dados DCA'!$C$9:$C$564,$C28,'Dados DCA'!$E$9:$E$564,$D28,'Dados DCA'!$F$9:$F$564,"transferencias_correntes_total_brutas"))</f>
        <v>298807551.15</v>
      </c>
      <c r="P28" s="6" t="n">
        <f aca="false">IF(COUNTIFS('Dados DCA'!$C$9:$C$564,$C28,'Dados DCA'!$E$9:$E$564,$D28,'Dados DCA'!$F$9:$F$564,"transferencias_intergov_correntes_proxy")=0,"",SUMIFS('Dados DCA'!$L$9:$L$564,'Dados DCA'!$C$9:$C$564,$C28,'Dados DCA'!$E$9:$E$564,$D28,'Dados DCA'!$F$9:$F$564,"transferencias_intergov_correntes_proxy"))</f>
        <v>223074356.01</v>
      </c>
      <c r="Q28" s="19" t="n">
        <f aca="false">IF(COUNTIFS('Dados IBGE'!$C$9:$C$164,$C28,'Dados IBGE'!$E$9:$E$164,$D28,'Dados IBGE'!$G$9:$G$164,"pop_censo")&gt;0,SUMIFS('Dados IBGE'!$J$9:$J$164,'Dados IBGE'!$C$9:$C$164,$C28,'Dados IBGE'!$E$9:$E$164,$D28,'Dados IBGE'!$G$9:$G$164,"pop_censo"),IF(COUNTIFS('Dados IBGE'!$C$9:$C$164,$C28,'Dados IBGE'!$E$9:$E$164,$D28,'Dados IBGE'!$G$9:$G$164,"pop_estimada")=0,"",SUMIFS('Dados IBGE'!$J$9:$J$164,'Dados IBGE'!$C$9:$C$164,$C28,'Dados IBGE'!$E$9:$E$164,$D28,'Dados IBGE'!$G$9:$G$164,"pop_estimada")))</f>
        <v>90104</v>
      </c>
      <c r="R28" s="6" t="str">
        <f aca="false">IF(COUNTIFS('Dados IBGE'!$C$9:$C$164,$C28,'Dados IBGE'!$E$9:$E$164,$D28,'Dados IBGE'!$G$9:$G$164,"pib")=0,"",SUMIFS('Dados IBGE'!$J$9:$J$164,'Dados IBGE'!$C$9:$C$164,$C28,'Dados IBGE'!$E$9:$E$164,$D28,'Dados IBGE'!$G$9:$G$164,"pib")*1000)</f>
        <v/>
      </c>
      <c r="S28" s="20" t="n">
        <f aca="false">IF(COUNTIFS('Dados IBGE'!$E$9:$E$164,$D28,'Dados IBGE'!$G$9:$G$164,"ipca")&lt;&gt;12,"",SUMIFS('Dados IBGE'!$J$9:$J$164,'Dados IBGE'!$E$9:$E$164,$D28,'Dados IBGE'!$G$9:$G$164,"ipca")/12)</f>
        <v>6952.07333333333</v>
      </c>
      <c r="T28" s="20" t="n">
        <f aca="false">IF(OR(S28="",S28=0),"",AVERAGEIFS('Dados IBGE'!$J$9:$J$164,'Dados IBGE'!$E$9:$E$164,2024,'Dados IBGE'!$G$9:$G$164,"ipca")/S28)</f>
        <v>1</v>
      </c>
      <c r="U28" s="18" t="n">
        <f aca="false">IF(OR(E28="",T28=""),"",E28*T28)</f>
        <v>406750338.2</v>
      </c>
      <c r="V28" s="18" t="n">
        <f aca="false">IF(OR(I28="",T28=""),"",I28*T28)</f>
        <v>399934864.27</v>
      </c>
      <c r="W28" s="18" t="n">
        <f aca="false">IF(OR(Q28="",Q28=0,U28=""),"",U28/Q28)</f>
        <v>4514.23175663678</v>
      </c>
      <c r="X28" s="18" t="n">
        <f aca="false">IF(OR(Q28="",Q28=0,V28=""),"",V28/Q28)</f>
        <v>4438.5916748424</v>
      </c>
      <c r="Y28" s="21" t="n">
        <f aca="false">IF(OR(E28="",E28=0,N28=""),"",N28/E28)</f>
        <v>0.0641882361193326</v>
      </c>
      <c r="Z28" s="21" t="n">
        <f aca="false">IF(OR(E28="",E28=0,O28=""),"",O28/E28)</f>
        <v>0.734621518625697</v>
      </c>
      <c r="AA28" s="21" t="str">
        <f aca="false">IF(OR(R28="",R28=0,E28=""),"",E28/R28)</f>
        <v/>
      </c>
      <c r="AB28" s="21" t="str">
        <f aca="false">IF(OR(R28="",R28=0,I28=""),"",I28/R28)</f>
        <v/>
      </c>
      <c r="AC28" s="6" t="n">
        <f aca="false">IF(COUNTIFS('Dados DCA'!$C$9:$C$564,$C28,'Dados DCA'!$E$9:$E$564,$D28,'Dados DCA'!$F$9:$F$564,"receita_exceto_intra_bruta")=0,"",SUMIFS('Dados DCA'!$L$9:$L$564,'Dados DCA'!$C$9:$C$564,$C28,'Dados DCA'!$E$9:$E$564,$D28,'Dados DCA'!$F$9:$F$564,"receita_exceto_intra_bruta"))</f>
        <v>377202550.76</v>
      </c>
      <c r="AD28" s="6" t="n">
        <f aca="false">IF(COUNTIFS('Dados DCA'!$C$9:$C$564,$C28,'Dados DCA'!$E$9:$E$564,$D28,'Dados DCA'!$F$9:$F$564,"receita_intra_bruta")=0,"",SUMIFS('Dados DCA'!$L$9:$L$564,'Dados DCA'!$C$9:$C$564,$C28,'Dados DCA'!$E$9:$E$564,$D28,'Dados DCA'!$F$9:$F$564,"receita_intra_bruta"))</f>
        <v>29547787.44</v>
      </c>
    </row>
  </sheetData>
  <autoFilter ref="C8:AD28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J26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9" min="7" style="0" width="48"/>
    <col collapsed="false" customWidth="true" hidden="false" outlineLevel="0" max="10" min="10" style="0" width="33"/>
  </cols>
  <sheetData>
    <row r="3" customFormat="false" ht="19.7" hidden="false" customHeight="false" outlineLevel="0" collapsed="false">
      <c r="C3" s="1" t="s">
        <v>237</v>
      </c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C5" s="3" t="s">
        <v>238</v>
      </c>
    </row>
    <row r="6" customFormat="false" ht="15" hidden="false" customHeight="false" outlineLevel="0" collapsed="false">
      <c r="C6" s="4" t="s">
        <v>239</v>
      </c>
    </row>
    <row r="8" customFormat="false" ht="33.75" hidden="false" customHeight="true" outlineLevel="0" collapsed="false">
      <c r="C8" s="5" t="s">
        <v>35</v>
      </c>
      <c r="D8" s="5" t="s">
        <v>37</v>
      </c>
      <c r="E8" s="5" t="s">
        <v>240</v>
      </c>
      <c r="F8" s="5" t="s">
        <v>241</v>
      </c>
      <c r="G8" s="5" t="s">
        <v>242</v>
      </c>
      <c r="H8" s="5" t="s">
        <v>243</v>
      </c>
      <c r="I8" s="5" t="s">
        <v>244</v>
      </c>
      <c r="J8" s="5" t="s">
        <v>245</v>
      </c>
    </row>
    <row r="9" customFormat="false" ht="15" hidden="false" customHeight="false" outlineLevel="0" collapsed="false">
      <c r="C9" s="12" t="s">
        <v>5</v>
      </c>
      <c r="D9" s="16" t="n">
        <v>2017</v>
      </c>
      <c r="E9" s="12" t="s">
        <v>246</v>
      </c>
      <c r="F9" s="12" t="s">
        <v>247</v>
      </c>
      <c r="G9" s="6" t="n">
        <f aca="false">IF(COUNTIFS('Dados DCA'!$C$9:$C$564,$C9,'Dados DCA'!$E$9:$E$564,$D9,'Dados DCA'!$F$9:$F$564,"despesa_funcao_"&amp;$E9)=0,"",SUMIFS('Dados DCA'!$L$9:$L$564,'Dados DCA'!$C$9:$C$564,$C9,'Dados DCA'!$E$9:$E$564,$D9,'Dados DCA'!$F$9:$F$564,"despesa_funcao_"&amp;$E9))</f>
        <v>5342557.29</v>
      </c>
      <c r="H9" s="6" t="n">
        <f aca="false">IF(OR(G9="",SUMIFS('Cálculos Municipais'!$T$9:$T$28,'Cálculos Municipais'!$C$9:$C$28,$C9,'Cálculos Municipais'!$D$9:$D$28,$D9)=0),"",G9*SUMIFS('Cálculos Municipais'!$T$9:$T$28,'Cálculos Municipais'!$C$9:$C$28,$C9,'Cálculos Municipais'!$D$9:$D$28,$D9))</f>
        <v>7660781.52668249</v>
      </c>
      <c r="I9" s="8" t="n">
        <f aca="false">IF(OR(G9="",SUMIFS('Dados DCA'!$L$9:$L$564,'Dados DCA'!$C$9:$C$564,$C9,'Dados DCA'!$E$9:$E$564,$D9,'Dados DCA'!$F$9:$F$564,"despesa_empenhada_exceto_intra")=0),"",G9/SUMIFS('Dados DCA'!$L$9:$L$564,'Dados DCA'!$C$9:$C$564,$C9,'Dados DCA'!$E$9:$E$564,$D9,'Dados DCA'!$F$9:$F$564,"despesa_empenhada_exceto_intra"))</f>
        <v>0.0400172547668534</v>
      </c>
      <c r="J9" s="12" t="s">
        <v>78</v>
      </c>
    </row>
    <row r="10" customFormat="false" ht="15" hidden="false" customHeight="false" outlineLevel="0" collapsed="false">
      <c r="C10" s="12" t="s">
        <v>5</v>
      </c>
      <c r="D10" s="16" t="n">
        <v>2017</v>
      </c>
      <c r="E10" s="12" t="s">
        <v>248</v>
      </c>
      <c r="F10" s="12" t="s">
        <v>249</v>
      </c>
      <c r="G10" s="6" t="n">
        <f aca="false">IF(COUNTIFS('Dados DCA'!$C$9:$C$564,$C10,'Dados DCA'!$E$9:$E$564,$D10,'Dados DCA'!$F$9:$F$564,"despesa_funcao_"&amp;$E10)=0,"",SUMIFS('Dados DCA'!$L$9:$L$564,'Dados DCA'!$C$9:$C$564,$C10,'Dados DCA'!$E$9:$E$564,$D10,'Dados DCA'!$F$9:$F$564,"despesa_funcao_"&amp;$E10))</f>
        <v>26594984.4</v>
      </c>
      <c r="H10" s="6" t="n">
        <f aca="false">IF(OR(G10="",SUMIFS('Cálculos Municipais'!$T$9:$T$28,'Cálculos Municipais'!$C$9:$C$28,$C10,'Cálculos Municipais'!$D$9:$D$28,$D10)=0),"",G10*SUMIFS('Cálculos Municipais'!$T$9:$T$28,'Cálculos Municipais'!$C$9:$C$28,$C10,'Cálculos Municipais'!$D$9:$D$28,$D10))</f>
        <v>38134989.3196801</v>
      </c>
      <c r="I10" s="8" t="n">
        <f aca="false">IF(OR(G10="",SUMIFS('Dados DCA'!$L$9:$L$564,'Dados DCA'!$C$9:$C$564,$C10,'Dados DCA'!$E$9:$E$564,$D10,'Dados DCA'!$F$9:$F$564,"despesa_empenhada_exceto_intra")=0),"",G10/SUMIFS('Dados DCA'!$L$9:$L$564,'Dados DCA'!$C$9:$C$564,$C10,'Dados DCA'!$E$9:$E$564,$D10,'Dados DCA'!$F$9:$F$564,"despesa_empenhada_exceto_intra"))</f>
        <v>0.199203903390485</v>
      </c>
      <c r="J10" s="12" t="s">
        <v>78</v>
      </c>
    </row>
    <row r="11" customFormat="false" ht="15" hidden="false" customHeight="false" outlineLevel="0" collapsed="false">
      <c r="C11" s="12" t="s">
        <v>5</v>
      </c>
      <c r="D11" s="16" t="n">
        <v>2017</v>
      </c>
      <c r="E11" s="12" t="s">
        <v>250</v>
      </c>
      <c r="F11" s="12" t="s">
        <v>251</v>
      </c>
      <c r="G11" s="6" t="n">
        <f aca="false">IF(COUNTIFS('Dados DCA'!$C$9:$C$564,$C11,'Dados DCA'!$E$9:$E$564,$D11,'Dados DCA'!$F$9:$F$564,"despesa_funcao_"&amp;$E11)=0,"",SUMIFS('Dados DCA'!$L$9:$L$564,'Dados DCA'!$C$9:$C$564,$C11,'Dados DCA'!$E$9:$E$564,$D11,'Dados DCA'!$F$9:$F$564,"despesa_funcao_"&amp;$E11))</f>
        <v>4219845.46</v>
      </c>
      <c r="H11" s="6" t="n">
        <f aca="false">IF(OR(G11="",SUMIFS('Cálculos Municipais'!$T$9:$T$28,'Cálculos Municipais'!$C$9:$C$28,$C11,'Cálculos Municipais'!$D$9:$D$28,$D11)=0),"",G11*SUMIFS('Cálculos Municipais'!$T$9:$T$28,'Cálculos Municipais'!$C$9:$C$28,$C11,'Cálculos Municipais'!$D$9:$D$28,$D11))</f>
        <v>6050906.40879641</v>
      </c>
      <c r="I11" s="8" t="n">
        <f aca="false">IF(OR(G11="",SUMIFS('Dados DCA'!$L$9:$L$564,'Dados DCA'!$C$9:$C$564,$C11,'Dados DCA'!$E$9:$E$564,$D11,'Dados DCA'!$F$9:$F$564,"despesa_empenhada_exceto_intra")=0),"",G11/SUMIFS('Dados DCA'!$L$9:$L$564,'Dados DCA'!$C$9:$C$564,$C11,'Dados DCA'!$E$9:$E$564,$D11,'Dados DCA'!$F$9:$F$564,"despesa_empenhada_exceto_intra"))</f>
        <v>0.0316078278029228</v>
      </c>
      <c r="J11" s="12" t="s">
        <v>78</v>
      </c>
    </row>
    <row r="12" customFormat="false" ht="15" hidden="false" customHeight="false" outlineLevel="0" collapsed="false">
      <c r="C12" s="12" t="s">
        <v>5</v>
      </c>
      <c r="D12" s="16" t="n">
        <v>2017</v>
      </c>
      <c r="E12" s="12" t="s">
        <v>252</v>
      </c>
      <c r="F12" s="12" t="s">
        <v>253</v>
      </c>
      <c r="G12" s="6" t="n">
        <f aca="false">IF(COUNTIFS('Dados DCA'!$C$9:$C$564,$C12,'Dados DCA'!$E$9:$E$564,$D12,'Dados DCA'!$F$9:$F$564,"despesa_funcao_"&amp;$E12)=0,"",SUMIFS('Dados DCA'!$L$9:$L$564,'Dados DCA'!$C$9:$C$564,$C12,'Dados DCA'!$E$9:$E$564,$D12,'Dados DCA'!$F$9:$F$564,"despesa_funcao_"&amp;$E12))</f>
        <v>14754363.99</v>
      </c>
      <c r="H12" s="6" t="n">
        <f aca="false">IF(OR(G12="",SUMIFS('Cálculos Municipais'!$T$9:$T$28,'Cálculos Municipais'!$C$9:$C$28,$C12,'Cálculos Municipais'!$D$9:$D$28,$D12)=0),"",G12*SUMIFS('Cálculos Municipais'!$T$9:$T$28,'Cálculos Municipais'!$C$9:$C$28,$C12,'Cálculos Municipais'!$D$9:$D$28,$D12))</f>
        <v>21156527.287804</v>
      </c>
      <c r="I12" s="8" t="n">
        <f aca="false">IF(OR(G12="",SUMIFS('Dados DCA'!$L$9:$L$564,'Dados DCA'!$C$9:$C$564,$C12,'Dados DCA'!$E$9:$E$564,$D12,'Dados DCA'!$F$9:$F$564,"despesa_empenhada_exceto_intra")=0),"",G12/SUMIFS('Dados DCA'!$L$9:$L$564,'Dados DCA'!$C$9:$C$564,$C12,'Dados DCA'!$E$9:$E$564,$D12,'Dados DCA'!$F$9:$F$564,"despesa_empenhada_exceto_intra"))</f>
        <v>0.110514330621379</v>
      </c>
      <c r="J12" s="12" t="s">
        <v>78</v>
      </c>
    </row>
    <row r="13" customFormat="false" ht="15" hidden="false" customHeight="false" outlineLevel="0" collapsed="false">
      <c r="C13" s="12" t="s">
        <v>5</v>
      </c>
      <c r="D13" s="16" t="n">
        <v>2017</v>
      </c>
      <c r="E13" s="12" t="s">
        <v>254</v>
      </c>
      <c r="F13" s="12" t="s">
        <v>255</v>
      </c>
      <c r="G13" s="6" t="n">
        <f aca="false">IF(COUNTIFS('Dados DCA'!$C$9:$C$564,$C13,'Dados DCA'!$E$9:$E$564,$D13,'Dados DCA'!$F$9:$F$564,"despesa_funcao_"&amp;$E13)=0,"",SUMIFS('Dados DCA'!$L$9:$L$564,'Dados DCA'!$C$9:$C$564,$C13,'Dados DCA'!$E$9:$E$564,$D13,'Dados DCA'!$F$9:$F$564,"despesa_funcao_"&amp;$E13))</f>
        <v>30659766.53</v>
      </c>
      <c r="H13" s="6" t="n">
        <f aca="false">IF(OR(G13="",SUMIFS('Cálculos Municipais'!$T$9:$T$28,'Cálculos Municipais'!$C$9:$C$28,$C13,'Cálculos Municipais'!$D$9:$D$28,$D13)=0),"",G13*SUMIFS('Cálculos Municipais'!$T$9:$T$28,'Cálculos Municipais'!$C$9:$C$28,$C13,'Cálculos Municipais'!$D$9:$D$28,$D13))</f>
        <v>43963547.8472187</v>
      </c>
      <c r="I13" s="8" t="n">
        <f aca="false">IF(OR(G13="",SUMIFS('Dados DCA'!$L$9:$L$564,'Dados DCA'!$C$9:$C$564,$C13,'Dados DCA'!$E$9:$E$564,$D13,'Dados DCA'!$F$9:$F$564,"despesa_empenhada_exceto_intra")=0),"",G13/SUMIFS('Dados DCA'!$L$9:$L$564,'Dados DCA'!$C$9:$C$564,$C13,'Dados DCA'!$E$9:$E$564,$D13,'Dados DCA'!$F$9:$F$564,"despesa_empenhada_exceto_intra"))</f>
        <v>0.229650263296148</v>
      </c>
      <c r="J13" s="12" t="s">
        <v>78</v>
      </c>
    </row>
    <row r="14" customFormat="false" ht="15" hidden="false" customHeight="false" outlineLevel="0" collapsed="false">
      <c r="C14" s="12" t="s">
        <v>5</v>
      </c>
      <c r="D14" s="16" t="n">
        <v>2017</v>
      </c>
      <c r="E14" s="12" t="s">
        <v>256</v>
      </c>
      <c r="F14" s="12" t="s">
        <v>257</v>
      </c>
      <c r="G14" s="6" t="n">
        <f aca="false">IF(COUNTIFS('Dados DCA'!$C$9:$C$564,$C14,'Dados DCA'!$E$9:$E$564,$D14,'Dados DCA'!$F$9:$F$564,"despesa_funcao_"&amp;$E14)=0,"",SUMIFS('Dados DCA'!$L$9:$L$564,'Dados DCA'!$C$9:$C$564,$C14,'Dados DCA'!$E$9:$E$564,$D14,'Dados DCA'!$F$9:$F$564,"despesa_funcao_"&amp;$E14))</f>
        <v>1022</v>
      </c>
      <c r="H14" s="6" t="n">
        <f aca="false">IF(OR(G14="",SUMIFS('Cálculos Municipais'!$T$9:$T$28,'Cálculos Municipais'!$C$9:$C$28,$C14,'Cálculos Municipais'!$D$9:$D$28,$D14)=0),"",G14*SUMIFS('Cálculos Municipais'!$T$9:$T$28,'Cálculos Municipais'!$C$9:$C$28,$C14,'Cálculos Municipais'!$D$9:$D$28,$D14))</f>
        <v>1465.46275412416</v>
      </c>
      <c r="I14" s="8" t="n">
        <f aca="false">IF(OR(G14="",SUMIFS('Dados DCA'!$L$9:$L$564,'Dados DCA'!$C$9:$C$564,$C14,'Dados DCA'!$E$9:$E$564,$D14,'Dados DCA'!$F$9:$F$564,"despesa_empenhada_exceto_intra")=0),"",G14/SUMIFS('Dados DCA'!$L$9:$L$564,'Dados DCA'!$C$9:$C$564,$C14,'Dados DCA'!$E$9:$E$564,$D14,'Dados DCA'!$F$9:$F$564,"despesa_empenhada_exceto_intra"))</f>
        <v>7.6550670684009E-006</v>
      </c>
      <c r="J14" s="12" t="s">
        <v>78</v>
      </c>
    </row>
    <row r="15" customFormat="false" ht="15" hidden="false" customHeight="false" outlineLevel="0" collapsed="false">
      <c r="C15" s="12" t="s">
        <v>5</v>
      </c>
      <c r="D15" s="16" t="n">
        <v>2017</v>
      </c>
      <c r="E15" s="12" t="s">
        <v>258</v>
      </c>
      <c r="F15" s="12" t="s">
        <v>259</v>
      </c>
      <c r="G15" s="6" t="n">
        <f aca="false">IF(COUNTIFS('Dados DCA'!$C$9:$C$564,$C15,'Dados DCA'!$E$9:$E$564,$D15,'Dados DCA'!$F$9:$F$564,"despesa_funcao_"&amp;$E15)=0,"",SUMIFS('Dados DCA'!$L$9:$L$564,'Dados DCA'!$C$9:$C$564,$C15,'Dados DCA'!$E$9:$E$564,$D15,'Dados DCA'!$F$9:$F$564,"despesa_funcao_"&amp;$E15))</f>
        <v>37850463.89</v>
      </c>
      <c r="H15" s="6" t="n">
        <f aca="false">IF(OR(G15="",SUMIFS('Cálculos Municipais'!$T$9:$T$28,'Cálculos Municipais'!$C$9:$C$28,$C15,'Cálculos Municipais'!$D$9:$D$28,$D15)=0),"",G15*SUMIFS('Cálculos Municipais'!$T$9:$T$28,'Cálculos Municipais'!$C$9:$C$28,$C15,'Cálculos Municipais'!$D$9:$D$28,$D15))</f>
        <v>54274408.0793703</v>
      </c>
      <c r="I15" s="8" t="n">
        <f aca="false">IF(OR(G15="",SUMIFS('Dados DCA'!$L$9:$L$564,'Dados DCA'!$C$9:$C$564,$C15,'Dados DCA'!$E$9:$E$564,$D15,'Dados DCA'!$F$9:$F$564,"despesa_empenhada_exceto_intra")=0),"",G15/SUMIFS('Dados DCA'!$L$9:$L$564,'Dados DCA'!$C$9:$C$564,$C15,'Dados DCA'!$E$9:$E$564,$D15,'Dados DCA'!$F$9:$F$564,"despesa_empenhada_exceto_intra"))</f>
        <v>0.283510606309233</v>
      </c>
      <c r="J15" s="12" t="s">
        <v>78</v>
      </c>
    </row>
    <row r="16" customFormat="false" ht="15" hidden="false" customHeight="false" outlineLevel="0" collapsed="false">
      <c r="C16" s="12" t="s">
        <v>5</v>
      </c>
      <c r="D16" s="16" t="n">
        <v>2017</v>
      </c>
      <c r="E16" s="12" t="s">
        <v>260</v>
      </c>
      <c r="F16" s="12" t="s">
        <v>261</v>
      </c>
      <c r="G16" s="6" t="n">
        <f aca="false">IF(COUNTIFS('Dados DCA'!$C$9:$C$564,$C16,'Dados DCA'!$E$9:$E$564,$D16,'Dados DCA'!$F$9:$F$564,"despesa_funcao_"&amp;$E16)=0,"",SUMIFS('Dados DCA'!$L$9:$L$564,'Dados DCA'!$C$9:$C$564,$C16,'Dados DCA'!$E$9:$E$564,$D16,'Dados DCA'!$F$9:$F$564,"despesa_funcao_"&amp;$E16))</f>
        <v>188353.36</v>
      </c>
      <c r="H16" s="6" t="n">
        <f aca="false">IF(OR(G16="",SUMIFS('Cálculos Municipais'!$T$9:$T$28,'Cálculos Municipais'!$C$9:$C$28,$C16,'Cálculos Municipais'!$D$9:$D$28,$D16)=0),"",G16*SUMIFS('Cálculos Municipais'!$T$9:$T$28,'Cálculos Municipais'!$C$9:$C$28,$C16,'Cálculos Municipais'!$D$9:$D$28,$D16))</f>
        <v>270083.007528512</v>
      </c>
      <c r="I16" s="8" t="n">
        <f aca="false">IF(OR(G16="",SUMIFS('Dados DCA'!$L$9:$L$564,'Dados DCA'!$C$9:$C$564,$C16,'Dados DCA'!$E$9:$E$564,$D16,'Dados DCA'!$F$9:$F$564,"despesa_empenhada_exceto_intra")=0),"",G16/SUMIFS('Dados DCA'!$L$9:$L$564,'Dados DCA'!$C$9:$C$564,$C16,'Dados DCA'!$E$9:$E$564,$D16,'Dados DCA'!$F$9:$F$564,"despesa_empenhada_exceto_intra"))</f>
        <v>0.00141081957275798</v>
      </c>
      <c r="J16" s="12" t="s">
        <v>78</v>
      </c>
    </row>
    <row r="17" customFormat="false" ht="15" hidden="false" customHeight="false" outlineLevel="0" collapsed="false">
      <c r="C17" s="12" t="s">
        <v>5</v>
      </c>
      <c r="D17" s="16" t="n">
        <v>2017</v>
      </c>
      <c r="E17" s="12" t="s">
        <v>262</v>
      </c>
      <c r="F17" s="12" t="s">
        <v>263</v>
      </c>
      <c r="G17" s="6" t="n">
        <f aca="false">IF(COUNTIFS('Dados DCA'!$C$9:$C$564,$C17,'Dados DCA'!$E$9:$E$564,$D17,'Dados DCA'!$F$9:$F$564,"despesa_funcao_"&amp;$E17)=0,"",SUMIFS('Dados DCA'!$L$9:$L$564,'Dados DCA'!$C$9:$C$564,$C17,'Dados DCA'!$E$9:$E$564,$D17,'Dados DCA'!$F$9:$F$564,"despesa_funcao_"&amp;$E17))</f>
        <v>7540464.69</v>
      </c>
      <c r="H17" s="6" t="n">
        <f aca="false">IF(OR(G17="",SUMIFS('Cálculos Municipais'!$T$9:$T$28,'Cálculos Municipais'!$C$9:$C$28,$C17,'Cálculos Municipais'!$D$9:$D$28,$D17)=0),"",G17*SUMIFS('Cálculos Municipais'!$T$9:$T$28,'Cálculos Municipais'!$C$9:$C$28,$C17,'Cálculos Municipais'!$D$9:$D$28,$D17))</f>
        <v>10812397.4089857</v>
      </c>
      <c r="I17" s="8" t="n">
        <f aca="false">IF(OR(G17="",SUMIFS('Dados DCA'!$L$9:$L$564,'Dados DCA'!$C$9:$C$564,$C17,'Dados DCA'!$E$9:$E$564,$D17,'Dados DCA'!$F$9:$F$564,"despesa_empenhada_exceto_intra")=0),"",G17/SUMIFS('Dados DCA'!$L$9:$L$564,'Dados DCA'!$C$9:$C$564,$C17,'Dados DCA'!$E$9:$E$564,$D17,'Dados DCA'!$F$9:$F$564,"despesa_empenhada_exceto_intra"))</f>
        <v>0.0564801985605272</v>
      </c>
      <c r="J17" s="12" t="s">
        <v>78</v>
      </c>
    </row>
    <row r="18" customFormat="false" ht="15" hidden="false" customHeight="false" outlineLevel="0" collapsed="false">
      <c r="C18" s="12" t="s">
        <v>5</v>
      </c>
      <c r="D18" s="16" t="n">
        <v>2017</v>
      </c>
      <c r="E18" s="12" t="s">
        <v>264</v>
      </c>
      <c r="F18" s="12" t="s">
        <v>265</v>
      </c>
      <c r="G18" s="6" t="n">
        <f aca="false">IF(COUNTIFS('Dados DCA'!$C$9:$C$564,$C18,'Dados DCA'!$E$9:$E$564,$D18,'Dados DCA'!$F$9:$F$564,"despesa_funcao_"&amp;$E18)=0,"",SUMIFS('Dados DCA'!$L$9:$L$564,'Dados DCA'!$C$9:$C$564,$C18,'Dados DCA'!$E$9:$E$564,$D18,'Dados DCA'!$F$9:$F$564,"despesa_funcao_"&amp;$E18))</f>
        <v>44598.04</v>
      </c>
      <c r="H18" s="6" t="n">
        <f aca="false">IF(OR(G18="",SUMIFS('Cálculos Municipais'!$T$9:$T$28,'Cálculos Municipais'!$C$9:$C$28,$C18,'Cálculos Municipais'!$D$9:$D$28,$D18)=0),"",G18*SUMIFS('Cálculos Municipais'!$T$9:$T$28,'Cálculos Municipais'!$C$9:$C$28,$C18,'Cálculos Municipais'!$D$9:$D$28,$D18))</f>
        <v>63949.8694001365</v>
      </c>
      <c r="I18" s="8" t="n">
        <f aca="false">IF(OR(G18="",SUMIFS('Dados DCA'!$L$9:$L$564,'Dados DCA'!$C$9:$C$564,$C18,'Dados DCA'!$E$9:$E$564,$D18,'Dados DCA'!$F$9:$F$564,"despesa_empenhada_exceto_intra")=0),"",G18/SUMIFS('Dados DCA'!$L$9:$L$564,'Dados DCA'!$C$9:$C$564,$C18,'Dados DCA'!$E$9:$E$564,$D18,'Dados DCA'!$F$9:$F$564,"despesa_empenhada_exceto_intra"))</f>
        <v>0.000334051846692002</v>
      </c>
      <c r="J18" s="12" t="s">
        <v>78</v>
      </c>
    </row>
    <row r="19" customFormat="false" ht="15" hidden="false" customHeight="false" outlineLevel="0" collapsed="false">
      <c r="C19" s="12" t="s">
        <v>5</v>
      </c>
      <c r="D19" s="16" t="n">
        <v>2017</v>
      </c>
      <c r="E19" s="12" t="s">
        <v>266</v>
      </c>
      <c r="F19" s="12" t="s">
        <v>267</v>
      </c>
      <c r="G19" s="6" t="n">
        <f aca="false">IF(COUNTIFS('Dados DCA'!$C$9:$C$564,$C19,'Dados DCA'!$E$9:$E$564,$D19,'Dados DCA'!$F$9:$F$564,"despesa_funcao_"&amp;$E19)=0,"",SUMIFS('Dados DCA'!$L$9:$L$564,'Dados DCA'!$C$9:$C$564,$C19,'Dados DCA'!$E$9:$E$564,$D19,'Dados DCA'!$F$9:$F$564,"despesa_funcao_"&amp;$E19))</f>
        <v>1044012.09</v>
      </c>
      <c r="H19" s="6" t="n">
        <f aca="false">IF(OR(G19="",SUMIFS('Cálculos Municipais'!$T$9:$T$28,'Cálculos Municipais'!$C$9:$C$28,$C19,'Cálculos Municipais'!$D$9:$D$28,$D19)=0),"",G19*SUMIFS('Cálculos Municipais'!$T$9:$T$28,'Cálculos Municipais'!$C$9:$C$28,$C19,'Cálculos Municipais'!$D$9:$D$28,$D19))</f>
        <v>1497026.2551373</v>
      </c>
      <c r="I19" s="8" t="n">
        <f aca="false">IF(OR(G19="",SUMIFS('Dados DCA'!$L$9:$L$564,'Dados DCA'!$C$9:$C$564,$C19,'Dados DCA'!$E$9:$E$564,$D19,'Dados DCA'!$F$9:$F$564,"despesa_empenhada_exceto_intra")=0),"",G19/SUMIFS('Dados DCA'!$L$9:$L$564,'Dados DCA'!$C$9:$C$564,$C19,'Dados DCA'!$E$9:$E$564,$D19,'Dados DCA'!$F$9:$F$564,"despesa_empenhada_exceto_intra"))</f>
        <v>0.00781994380545147</v>
      </c>
      <c r="J19" s="12" t="s">
        <v>78</v>
      </c>
    </row>
    <row r="20" customFormat="false" ht="15" hidden="false" customHeight="false" outlineLevel="0" collapsed="false">
      <c r="C20" s="12" t="s">
        <v>5</v>
      </c>
      <c r="D20" s="16" t="n">
        <v>2017</v>
      </c>
      <c r="E20" s="12" t="s">
        <v>268</v>
      </c>
      <c r="F20" s="12" t="s">
        <v>269</v>
      </c>
      <c r="G20" s="6" t="n">
        <f aca="false">IF(COUNTIFS('Dados DCA'!$C$9:$C$564,$C20,'Dados DCA'!$E$9:$E$564,$D20,'Dados DCA'!$F$9:$F$564,"despesa_funcao_"&amp;$E20)=0,"",SUMIFS('Dados DCA'!$L$9:$L$564,'Dados DCA'!$C$9:$C$564,$C20,'Dados DCA'!$E$9:$E$564,$D20,'Dados DCA'!$F$9:$F$564,"despesa_funcao_"&amp;$E20))</f>
        <v>82563</v>
      </c>
      <c r="H20" s="6" t="n">
        <f aca="false">IF(OR(G20="",SUMIFS('Cálculos Municipais'!$T$9:$T$28,'Cálculos Municipais'!$C$9:$C$28,$C20,'Cálculos Municipais'!$D$9:$D$28,$D20)=0),"",G20*SUMIFS('Cálculos Municipais'!$T$9:$T$28,'Cálculos Municipais'!$C$9:$C$28,$C20,'Cálculos Municipais'!$D$9:$D$28,$D20))</f>
        <v>118388.45535103</v>
      </c>
      <c r="I20" s="8" t="n">
        <f aca="false">IF(OR(G20="",SUMIFS('Dados DCA'!$L$9:$L$564,'Dados DCA'!$C$9:$C$564,$C20,'Dados DCA'!$E$9:$E$564,$D20,'Dados DCA'!$F$9:$F$564,"despesa_empenhada_exceto_intra")=0),"",G20/SUMIFS('Dados DCA'!$L$9:$L$564,'Dados DCA'!$C$9:$C$564,$C20,'Dados DCA'!$E$9:$E$564,$D20,'Dados DCA'!$F$9:$F$564,"despesa_empenhada_exceto_intra"))</f>
        <v>0.000618420061025816</v>
      </c>
      <c r="J20" s="12" t="s">
        <v>78</v>
      </c>
    </row>
    <row r="21" customFormat="false" ht="15" hidden="false" customHeight="false" outlineLevel="0" collapsed="false">
      <c r="C21" s="12" t="s">
        <v>5</v>
      </c>
      <c r="D21" s="16" t="n">
        <v>2017</v>
      </c>
      <c r="E21" s="12" t="s">
        <v>270</v>
      </c>
      <c r="F21" s="12" t="s">
        <v>271</v>
      </c>
      <c r="G21" s="6" t="n">
        <f aca="false">IF(COUNTIFS('Dados DCA'!$C$9:$C$564,$C21,'Dados DCA'!$E$9:$E$564,$D21,'Dados DCA'!$F$9:$F$564,"despesa_funcao_"&amp;$E21)=0,"",SUMIFS('Dados DCA'!$L$9:$L$564,'Dados DCA'!$C$9:$C$564,$C21,'Dados DCA'!$E$9:$E$564,$D21,'Dados DCA'!$F$9:$F$564,"despesa_funcao_"&amp;$E21))</f>
        <v>2911754.72</v>
      </c>
      <c r="H21" s="6" t="n">
        <f aca="false">IF(OR(G21="",SUMIFS('Cálculos Municipais'!$T$9:$T$28,'Cálculos Municipais'!$C$9:$C$28,$C21,'Cálculos Municipais'!$D$9:$D$28,$D21)=0),"",G21*SUMIFS('Cálculos Municipais'!$T$9:$T$28,'Cálculos Municipais'!$C$9:$C$28,$C21,'Cálculos Municipais'!$D$9:$D$28,$D21))</f>
        <v>4175213.39658045</v>
      </c>
      <c r="I21" s="8" t="n">
        <f aca="false">IF(OR(G21="",SUMIFS('Dados DCA'!$L$9:$L$564,'Dados DCA'!$C$9:$C$564,$C21,'Dados DCA'!$E$9:$E$564,$D21,'Dados DCA'!$F$9:$F$564,"despesa_empenhada_exceto_intra")=0),"",G21/SUMIFS('Dados DCA'!$L$9:$L$564,'Dados DCA'!$C$9:$C$564,$C21,'Dados DCA'!$E$9:$E$564,$D21,'Dados DCA'!$F$9:$F$564,"despesa_empenhada_exceto_intra"))</f>
        <v>0.021809860732224</v>
      </c>
      <c r="J21" s="12" t="s">
        <v>78</v>
      </c>
    </row>
    <row r="22" customFormat="false" ht="15" hidden="false" customHeight="false" outlineLevel="0" collapsed="false">
      <c r="C22" s="12" t="s">
        <v>5</v>
      </c>
      <c r="D22" s="16" t="n">
        <v>2017</v>
      </c>
      <c r="E22" s="12" t="s">
        <v>272</v>
      </c>
      <c r="F22" s="12" t="s">
        <v>273</v>
      </c>
      <c r="G22" s="6" t="n">
        <f aca="false">IF(COUNTIFS('Dados DCA'!$C$9:$C$564,$C22,'Dados DCA'!$E$9:$E$564,$D22,'Dados DCA'!$F$9:$F$564,"despesa_funcao_"&amp;$E22)=0,"",SUMIFS('Dados DCA'!$L$9:$L$564,'Dados DCA'!$C$9:$C$564,$C22,'Dados DCA'!$E$9:$E$564,$D22,'Dados DCA'!$F$9:$F$564,"despesa_funcao_"&amp;$E22))</f>
        <v>19029.78</v>
      </c>
      <c r="H22" s="6" t="n">
        <f aca="false">IF(OR(G22="",SUMIFS('Cálculos Municipais'!$T$9:$T$28,'Cálculos Municipais'!$C$9:$C$28,$C22,'Cálculos Municipais'!$D$9:$D$28,$D22)=0),"",G22*SUMIFS('Cálculos Municipais'!$T$9:$T$28,'Cálculos Municipais'!$C$9:$C$28,$C22,'Cálculos Municipais'!$D$9:$D$28,$D22))</f>
        <v>27287.1172301143</v>
      </c>
      <c r="I22" s="8" t="n">
        <f aca="false">IF(OR(G22="",SUMIFS('Dados DCA'!$L$9:$L$564,'Dados DCA'!$C$9:$C$564,$C22,'Dados DCA'!$E$9:$E$564,$D22,'Dados DCA'!$F$9:$F$564,"despesa_empenhada_exceto_intra")=0),"",G22/SUMIFS('Dados DCA'!$L$9:$L$564,'Dados DCA'!$C$9:$C$564,$C22,'Dados DCA'!$E$9:$E$564,$D22,'Dados DCA'!$F$9:$F$564,"despesa_empenhada_exceto_intra"))</f>
        <v>0.000142538397452949</v>
      </c>
      <c r="J22" s="12" t="s">
        <v>78</v>
      </c>
    </row>
    <row r="23" customFormat="false" ht="15" hidden="false" customHeight="false" outlineLevel="0" collapsed="false">
      <c r="C23" s="12" t="s">
        <v>5</v>
      </c>
      <c r="D23" s="16" t="n">
        <v>2017</v>
      </c>
      <c r="E23" s="12" t="s">
        <v>274</v>
      </c>
      <c r="F23" s="12" t="s">
        <v>275</v>
      </c>
      <c r="G23" s="6" t="n">
        <f aca="false">IF(COUNTIFS('Dados DCA'!$C$9:$C$564,$C23,'Dados DCA'!$E$9:$E$564,$D23,'Dados DCA'!$F$9:$F$564,"despesa_funcao_"&amp;$E23)=0,"",SUMIFS('Dados DCA'!$L$9:$L$564,'Dados DCA'!$C$9:$C$564,$C23,'Dados DCA'!$E$9:$E$564,$D23,'Dados DCA'!$F$9:$F$564,"despesa_funcao_"&amp;$E23))</f>
        <v>2252562.49</v>
      </c>
      <c r="H23" s="6" t="n">
        <f aca="false">IF(OR(G23="",SUMIFS('Cálculos Municipais'!$T$9:$T$28,'Cálculos Municipais'!$C$9:$C$28,$C23,'Cálculos Municipais'!$D$9:$D$28,$D23)=0),"",G23*SUMIFS('Cálculos Municipais'!$T$9:$T$28,'Cálculos Municipais'!$C$9:$C$28,$C23,'Cálculos Municipais'!$D$9:$D$28,$D23))</f>
        <v>3229986.72253638</v>
      </c>
      <c r="I23" s="8" t="n">
        <f aca="false">IF(OR(G23="",SUMIFS('Dados DCA'!$L$9:$L$564,'Dados DCA'!$C$9:$C$564,$C23,'Dados DCA'!$E$9:$E$564,$D23,'Dados DCA'!$F$9:$F$564,"despesa_empenhada_exceto_intra")=0),"",G23/SUMIFS('Dados DCA'!$L$9:$L$564,'Dados DCA'!$C$9:$C$564,$C23,'Dados DCA'!$E$9:$E$564,$D23,'Dados DCA'!$F$9:$F$564,"despesa_empenhada_exceto_intra"))</f>
        <v>0.016872325769779</v>
      </c>
      <c r="J23" s="12" t="s">
        <v>78</v>
      </c>
    </row>
    <row r="24" customFormat="false" ht="15" hidden="false" customHeight="false" outlineLevel="0" collapsed="false">
      <c r="C24" s="12" t="s">
        <v>5</v>
      </c>
      <c r="D24" s="16" t="n">
        <v>2018</v>
      </c>
      <c r="E24" s="12" t="s">
        <v>246</v>
      </c>
      <c r="F24" s="12" t="s">
        <v>247</v>
      </c>
      <c r="G24" s="6" t="n">
        <f aca="false">IF(COUNTIFS('Dados DCA'!$C$9:$C$564,$C24,'Dados DCA'!$E$9:$E$564,$D24,'Dados DCA'!$F$9:$F$564,"despesa_funcao_"&amp;$E24)=0,"",SUMIFS('Dados DCA'!$L$9:$L$564,'Dados DCA'!$C$9:$C$564,$C24,'Dados DCA'!$E$9:$E$564,$D24,'Dados DCA'!$F$9:$F$564,"despesa_funcao_"&amp;$E24))</f>
        <v>5188205.22</v>
      </c>
      <c r="H24" s="6" t="n">
        <f aca="false">IF(OR(G24="",SUMIFS('Cálculos Municipais'!$T$9:$T$28,'Cálculos Municipais'!$C$9:$C$28,$C24,'Cálculos Municipais'!$D$9:$D$28,$D24)=0),"",G24*SUMIFS('Cálculos Municipais'!$T$9:$T$28,'Cálculos Municipais'!$C$9:$C$28,$C24,'Cálculos Municipais'!$D$9:$D$28,$D24))</f>
        <v>7176447.47720515</v>
      </c>
      <c r="I24" s="8" t="n">
        <f aca="false">IF(OR(G24="",SUMIFS('Dados DCA'!$L$9:$L$564,'Dados DCA'!$C$9:$C$564,$C24,'Dados DCA'!$E$9:$E$564,$D24,'Dados DCA'!$F$9:$F$564,"despesa_empenhada_exceto_intra")=0),"",G24/SUMIFS('Dados DCA'!$L$9:$L$564,'Dados DCA'!$C$9:$C$564,$C24,'Dados DCA'!$E$9:$E$564,$D24,'Dados DCA'!$F$9:$F$564,"despesa_empenhada_exceto_intra"))</f>
        <v>0.0363717933875843</v>
      </c>
      <c r="J24" s="12" t="s">
        <v>116</v>
      </c>
    </row>
    <row r="25" customFormat="false" ht="15" hidden="false" customHeight="false" outlineLevel="0" collapsed="false">
      <c r="C25" s="12" t="s">
        <v>5</v>
      </c>
      <c r="D25" s="16" t="n">
        <v>2018</v>
      </c>
      <c r="E25" s="12" t="s">
        <v>248</v>
      </c>
      <c r="F25" s="12" t="s">
        <v>249</v>
      </c>
      <c r="G25" s="6" t="n">
        <f aca="false">IF(COUNTIFS('Dados DCA'!$C$9:$C$564,$C25,'Dados DCA'!$E$9:$E$564,$D25,'Dados DCA'!$F$9:$F$564,"despesa_funcao_"&amp;$E25)=0,"",SUMIFS('Dados DCA'!$L$9:$L$564,'Dados DCA'!$C$9:$C$564,$C25,'Dados DCA'!$E$9:$E$564,$D25,'Dados DCA'!$F$9:$F$564,"despesa_funcao_"&amp;$E25))</f>
        <v>29478695.42</v>
      </c>
      <c r="H25" s="6" t="n">
        <f aca="false">IF(OR(G25="",SUMIFS('Cálculos Municipais'!$T$9:$T$28,'Cálculos Municipais'!$C$9:$C$28,$C25,'Cálculos Municipais'!$D$9:$D$28,$D25)=0),"",G25*SUMIFS('Cálculos Municipais'!$T$9:$T$28,'Cálculos Municipais'!$C$9:$C$28,$C25,'Cálculos Municipais'!$D$9:$D$28,$D25))</f>
        <v>40775624.7888279</v>
      </c>
      <c r="I25" s="8" t="n">
        <f aca="false">IF(OR(G25="",SUMIFS('Dados DCA'!$L$9:$L$564,'Dados DCA'!$C$9:$C$564,$C25,'Dados DCA'!$E$9:$E$564,$D25,'Dados DCA'!$F$9:$F$564,"despesa_empenhada_exceto_intra")=0),"",G25/SUMIFS('Dados DCA'!$L$9:$L$564,'Dados DCA'!$C$9:$C$564,$C25,'Dados DCA'!$E$9:$E$564,$D25,'Dados DCA'!$F$9:$F$564,"despesa_empenhada_exceto_intra"))</f>
        <v>0.206659716354044</v>
      </c>
      <c r="J25" s="12" t="s">
        <v>116</v>
      </c>
    </row>
    <row r="26" customFormat="false" ht="15" hidden="false" customHeight="false" outlineLevel="0" collapsed="false">
      <c r="C26" s="12" t="s">
        <v>5</v>
      </c>
      <c r="D26" s="16" t="n">
        <v>2018</v>
      </c>
      <c r="E26" s="12" t="s">
        <v>276</v>
      </c>
      <c r="F26" s="12" t="s">
        <v>277</v>
      </c>
      <c r="G26" s="6" t="n">
        <f aca="false">IF(COUNTIFS('Dados DCA'!$C$9:$C$564,$C26,'Dados DCA'!$E$9:$E$564,$D26,'Dados DCA'!$F$9:$F$564,"despesa_funcao_"&amp;$E26)=0,"",SUMIFS('Dados DCA'!$L$9:$L$564,'Dados DCA'!$C$9:$C$564,$C26,'Dados DCA'!$E$9:$E$564,$D26,'Dados DCA'!$F$9:$F$564,"despesa_funcao_"&amp;$E26))</f>
        <v>1016.26</v>
      </c>
      <c r="H26" s="6" t="n">
        <f aca="false">IF(OR(G26="",SUMIFS('Cálculos Municipais'!$T$9:$T$28,'Cálculos Municipais'!$C$9:$C$28,$C26,'Cálculos Municipais'!$D$9:$D$28,$D26)=0),"",G26*SUMIFS('Cálculos Municipais'!$T$9:$T$28,'Cálculos Municipais'!$C$9:$C$28,$C26,'Cálculos Municipais'!$D$9:$D$28,$D26))</f>
        <v>1405.71473253799</v>
      </c>
      <c r="I26" s="8" t="n">
        <f aca="false">IF(OR(G26="",SUMIFS('Dados DCA'!$L$9:$L$564,'Dados DCA'!$C$9:$C$564,$C26,'Dados DCA'!$E$9:$E$564,$D26,'Dados DCA'!$F$9:$F$564,"despesa_empenhada_exceto_intra")=0),"",G26/SUMIFS('Dados DCA'!$L$9:$L$564,'Dados DCA'!$C$9:$C$564,$C26,'Dados DCA'!$E$9:$E$564,$D26,'Dados DCA'!$F$9:$F$564,"despesa_empenhada_exceto_intra"))</f>
        <v>7.12446736023029E-006</v>
      </c>
      <c r="J26" s="12" t="s">
        <v>116</v>
      </c>
    </row>
    <row r="27" customFormat="false" ht="15" hidden="false" customHeight="false" outlineLevel="0" collapsed="false">
      <c r="C27" s="12" t="s">
        <v>5</v>
      </c>
      <c r="D27" s="16" t="n">
        <v>2018</v>
      </c>
      <c r="E27" s="12" t="s">
        <v>250</v>
      </c>
      <c r="F27" s="12" t="s">
        <v>251</v>
      </c>
      <c r="G27" s="6" t="n">
        <f aca="false">IF(COUNTIFS('Dados DCA'!$C$9:$C$564,$C27,'Dados DCA'!$E$9:$E$564,$D27,'Dados DCA'!$F$9:$F$564,"despesa_funcao_"&amp;$E27)=0,"",SUMIFS('Dados DCA'!$L$9:$L$564,'Dados DCA'!$C$9:$C$564,$C27,'Dados DCA'!$E$9:$E$564,$D27,'Dados DCA'!$F$9:$F$564,"despesa_funcao_"&amp;$E27))</f>
        <v>4227734.41</v>
      </c>
      <c r="H27" s="6" t="n">
        <f aca="false">IF(OR(G27="",SUMIFS('Cálculos Municipais'!$T$9:$T$28,'Cálculos Municipais'!$C$9:$C$28,$C27,'Cálculos Municipais'!$D$9:$D$28,$D27)=0),"",G27*SUMIFS('Cálculos Municipais'!$T$9:$T$28,'Cálculos Municipais'!$C$9:$C$28,$C27,'Cálculos Municipais'!$D$9:$D$28,$D27))</f>
        <v>5847901.66433276</v>
      </c>
      <c r="I27" s="8" t="n">
        <f aca="false">IF(OR(G27="",SUMIFS('Dados DCA'!$L$9:$L$564,'Dados DCA'!$C$9:$C$564,$C27,'Dados DCA'!$E$9:$E$564,$D27,'Dados DCA'!$F$9:$F$564,"despesa_empenhada_exceto_intra")=0),"",G27/SUMIFS('Dados DCA'!$L$9:$L$564,'Dados DCA'!$C$9:$C$564,$C27,'Dados DCA'!$E$9:$E$564,$D27,'Dados DCA'!$F$9:$F$564,"despesa_empenhada_exceto_intra"))</f>
        <v>0.0296384348609288</v>
      </c>
      <c r="J27" s="12" t="s">
        <v>116</v>
      </c>
    </row>
    <row r="28" customFormat="false" ht="15" hidden="false" customHeight="false" outlineLevel="0" collapsed="false">
      <c r="C28" s="12" t="s">
        <v>5</v>
      </c>
      <c r="D28" s="16" t="n">
        <v>2018</v>
      </c>
      <c r="E28" s="12" t="s">
        <v>252</v>
      </c>
      <c r="F28" s="12" t="s">
        <v>253</v>
      </c>
      <c r="G28" s="6" t="n">
        <f aca="false">IF(COUNTIFS('Dados DCA'!$C$9:$C$564,$C28,'Dados DCA'!$E$9:$E$564,$D28,'Dados DCA'!$F$9:$F$564,"despesa_funcao_"&amp;$E28)=0,"",SUMIFS('Dados DCA'!$L$9:$L$564,'Dados DCA'!$C$9:$C$564,$C28,'Dados DCA'!$E$9:$E$564,$D28,'Dados DCA'!$F$9:$F$564,"despesa_funcao_"&amp;$E28))</f>
        <v>16270180.36</v>
      </c>
      <c r="H28" s="6" t="n">
        <f aca="false">IF(OR(G28="",SUMIFS('Cálculos Municipais'!$T$9:$T$28,'Cálculos Municipais'!$C$9:$C$28,$C28,'Cálculos Municipais'!$D$9:$D$28,$D28)=0),"",G28*SUMIFS('Cálculos Municipais'!$T$9:$T$28,'Cálculos Municipais'!$C$9:$C$28,$C28,'Cálculos Municipais'!$D$9:$D$28,$D28))</f>
        <v>22505296.11822</v>
      </c>
      <c r="I28" s="8" t="n">
        <f aca="false">IF(OR(G28="",SUMIFS('Dados DCA'!$L$9:$L$564,'Dados DCA'!$C$9:$C$564,$C28,'Dados DCA'!$E$9:$E$564,$D28,'Dados DCA'!$F$9:$F$564,"despesa_empenhada_exceto_intra")=0),"",G28/SUMIFS('Dados DCA'!$L$9:$L$564,'Dados DCA'!$C$9:$C$564,$C28,'Dados DCA'!$E$9:$E$564,$D28,'Dados DCA'!$F$9:$F$564,"despesa_empenhada_exceto_intra"))</f>
        <v>0.114061725267038</v>
      </c>
      <c r="J28" s="12" t="s">
        <v>116</v>
      </c>
    </row>
    <row r="29" customFormat="false" ht="15" hidden="false" customHeight="false" outlineLevel="0" collapsed="false">
      <c r="C29" s="12" t="s">
        <v>5</v>
      </c>
      <c r="D29" s="16" t="n">
        <v>2018</v>
      </c>
      <c r="E29" s="12" t="s">
        <v>254</v>
      </c>
      <c r="F29" s="12" t="s">
        <v>255</v>
      </c>
      <c r="G29" s="6" t="n">
        <f aca="false">IF(COUNTIFS('Dados DCA'!$C$9:$C$564,$C29,'Dados DCA'!$E$9:$E$564,$D29,'Dados DCA'!$F$9:$F$564,"despesa_funcao_"&amp;$E29)=0,"",SUMIFS('Dados DCA'!$L$9:$L$564,'Dados DCA'!$C$9:$C$564,$C29,'Dados DCA'!$E$9:$E$564,$D29,'Dados DCA'!$F$9:$F$564,"despesa_funcao_"&amp;$E29))</f>
        <v>33290586.41</v>
      </c>
      <c r="H29" s="6" t="n">
        <f aca="false">IF(OR(G29="",SUMIFS('Cálculos Municipais'!$T$9:$T$28,'Cálculos Municipais'!$C$9:$C$28,$C29,'Cálculos Municipais'!$D$9:$D$28,$D29)=0),"",G29*SUMIFS('Cálculos Municipais'!$T$9:$T$28,'Cálculos Municipais'!$C$9:$C$28,$C29,'Cálculos Municipais'!$D$9:$D$28,$D29))</f>
        <v>46048322.0547557</v>
      </c>
      <c r="I29" s="8" t="n">
        <f aca="false">IF(OR(G29="",SUMIFS('Dados DCA'!$L$9:$L$564,'Dados DCA'!$C$9:$C$564,$C29,'Dados DCA'!$E$9:$E$564,$D29,'Dados DCA'!$F$9:$F$564,"despesa_empenhada_exceto_intra")=0),"",G29/SUMIFS('Dados DCA'!$L$9:$L$564,'Dados DCA'!$C$9:$C$564,$C29,'Dados DCA'!$E$9:$E$564,$D29,'Dados DCA'!$F$9:$F$564,"despesa_empenhada_exceto_intra"))</f>
        <v>0.233382890481738</v>
      </c>
      <c r="J29" s="12" t="s">
        <v>116</v>
      </c>
    </row>
    <row r="30" customFormat="false" ht="15" hidden="false" customHeight="false" outlineLevel="0" collapsed="false">
      <c r="C30" s="12" t="s">
        <v>5</v>
      </c>
      <c r="D30" s="16" t="n">
        <v>2018</v>
      </c>
      <c r="E30" s="12" t="s">
        <v>256</v>
      </c>
      <c r="F30" s="12" t="s">
        <v>257</v>
      </c>
      <c r="G30" s="6" t="n">
        <f aca="false">IF(COUNTIFS('Dados DCA'!$C$9:$C$564,$C30,'Dados DCA'!$E$9:$E$564,$D30,'Dados DCA'!$F$9:$F$564,"despesa_funcao_"&amp;$E30)=0,"",SUMIFS('Dados DCA'!$L$9:$L$564,'Dados DCA'!$C$9:$C$564,$C30,'Dados DCA'!$E$9:$E$564,$D30,'Dados DCA'!$F$9:$F$564,"despesa_funcao_"&amp;$E30))</f>
        <v>3730.5</v>
      </c>
      <c r="H30" s="6" t="n">
        <f aca="false">IF(OR(G30="",SUMIFS('Cálculos Municipais'!$T$9:$T$28,'Cálculos Municipais'!$C$9:$C$28,$C30,'Cálculos Municipais'!$D$9:$D$28,$D30)=0),"",G30*SUMIFS('Cálculos Municipais'!$T$9:$T$28,'Cálculos Municipais'!$C$9:$C$28,$C30,'Cálculos Municipais'!$D$9:$D$28,$D30))</f>
        <v>5160.1153343957</v>
      </c>
      <c r="I30" s="8" t="n">
        <f aca="false">IF(OR(G30="",SUMIFS('Dados DCA'!$L$9:$L$564,'Dados DCA'!$C$9:$C$564,$C30,'Dados DCA'!$E$9:$E$564,$D30,'Dados DCA'!$F$9:$F$564,"despesa_empenhada_exceto_intra")=0),"",G30/SUMIFS('Dados DCA'!$L$9:$L$564,'Dados DCA'!$C$9:$C$564,$C30,'Dados DCA'!$E$9:$E$564,$D30,'Dados DCA'!$F$9:$F$564,"despesa_empenhada_exceto_intra"))</f>
        <v>2.61525844639552E-005</v>
      </c>
      <c r="J30" s="12" t="s">
        <v>116</v>
      </c>
    </row>
    <row r="31" customFormat="false" ht="15" hidden="false" customHeight="false" outlineLevel="0" collapsed="false">
      <c r="C31" s="12" t="s">
        <v>5</v>
      </c>
      <c r="D31" s="16" t="n">
        <v>2018</v>
      </c>
      <c r="E31" s="12" t="s">
        <v>258</v>
      </c>
      <c r="F31" s="12" t="s">
        <v>259</v>
      </c>
      <c r="G31" s="6" t="n">
        <f aca="false">IF(COUNTIFS('Dados DCA'!$C$9:$C$564,$C31,'Dados DCA'!$E$9:$E$564,$D31,'Dados DCA'!$F$9:$F$564,"despesa_funcao_"&amp;$E31)=0,"",SUMIFS('Dados DCA'!$L$9:$L$564,'Dados DCA'!$C$9:$C$564,$C31,'Dados DCA'!$E$9:$E$564,$D31,'Dados DCA'!$F$9:$F$564,"despesa_funcao_"&amp;$E31))</f>
        <v>40700972.52</v>
      </c>
      <c r="H31" s="6" t="n">
        <f aca="false">IF(OR(G31="",SUMIFS('Cálculos Municipais'!$T$9:$T$28,'Cálculos Municipais'!$C$9:$C$28,$C31,'Cálculos Municipais'!$D$9:$D$28,$D31)=0),"",G31*SUMIFS('Cálculos Municipais'!$T$9:$T$28,'Cálculos Municipais'!$C$9:$C$28,$C31,'Cálculos Municipais'!$D$9:$D$28,$D31))</f>
        <v>56298542.4005549</v>
      </c>
      <c r="I31" s="8" t="n">
        <f aca="false">IF(OR(G31="",SUMIFS('Dados DCA'!$L$9:$L$564,'Dados DCA'!$C$9:$C$564,$C31,'Dados DCA'!$E$9:$E$564,$D31,'Dados DCA'!$F$9:$F$564,"despesa_empenhada_exceto_intra")=0),"",G31/SUMIFS('Dados DCA'!$L$9:$L$564,'Dados DCA'!$C$9:$C$564,$C31,'Dados DCA'!$E$9:$E$564,$D31,'Dados DCA'!$F$9:$F$564,"despesa_empenhada_exceto_intra"))</f>
        <v>0.285333231897713</v>
      </c>
      <c r="J31" s="12" t="s">
        <v>116</v>
      </c>
    </row>
    <row r="32" customFormat="false" ht="15" hidden="false" customHeight="false" outlineLevel="0" collapsed="false">
      <c r="C32" s="12" t="s">
        <v>5</v>
      </c>
      <c r="D32" s="16" t="n">
        <v>2018</v>
      </c>
      <c r="E32" s="12" t="s">
        <v>278</v>
      </c>
      <c r="F32" s="12" t="s">
        <v>279</v>
      </c>
      <c r="G32" s="6" t="n">
        <f aca="false">IF(COUNTIFS('Dados DCA'!$C$9:$C$564,$C32,'Dados DCA'!$E$9:$E$564,$D32,'Dados DCA'!$F$9:$F$564,"despesa_funcao_"&amp;$E32)=0,"",SUMIFS('Dados DCA'!$L$9:$L$564,'Dados DCA'!$C$9:$C$564,$C32,'Dados DCA'!$E$9:$E$564,$D32,'Dados DCA'!$F$9:$F$564,"despesa_funcao_"&amp;$E32))</f>
        <v>44.4</v>
      </c>
      <c r="H32" s="6" t="n">
        <f aca="false">IF(OR(G32="",SUMIFS('Cálculos Municipais'!$T$9:$T$28,'Cálculos Municipais'!$C$9:$C$28,$C32,'Cálculos Municipais'!$D$9:$D$28,$D32)=0),"",G32*SUMIFS('Cálculos Municipais'!$T$9:$T$28,'Cálculos Municipais'!$C$9:$C$28,$C32,'Cálculos Municipais'!$D$9:$D$28,$D32))</f>
        <v>61.4151242051117</v>
      </c>
      <c r="I32" s="8" t="n">
        <f aca="false">IF(OR(G32="",SUMIFS('Dados DCA'!$L$9:$L$564,'Dados DCA'!$C$9:$C$564,$C32,'Dados DCA'!$E$9:$E$564,$D32,'Dados DCA'!$F$9:$F$564,"despesa_empenhada_exceto_intra")=0),"",G32/SUMIFS('Dados DCA'!$L$9:$L$564,'Dados DCA'!$C$9:$C$564,$C32,'Dados DCA'!$E$9:$E$564,$D32,'Dados DCA'!$F$9:$F$564,"despesa_empenhada_exceto_intra"))</f>
        <v>3.11265178983946E-007</v>
      </c>
      <c r="J32" s="12" t="s">
        <v>116</v>
      </c>
    </row>
    <row r="33" customFormat="false" ht="15" hidden="false" customHeight="false" outlineLevel="0" collapsed="false">
      <c r="C33" s="12" t="s">
        <v>5</v>
      </c>
      <c r="D33" s="16" t="n">
        <v>2018</v>
      </c>
      <c r="E33" s="12" t="s">
        <v>262</v>
      </c>
      <c r="F33" s="12" t="s">
        <v>263</v>
      </c>
      <c r="G33" s="6" t="n">
        <f aca="false">IF(COUNTIFS('Dados DCA'!$C$9:$C$564,$C33,'Dados DCA'!$E$9:$E$564,$D33,'Dados DCA'!$F$9:$F$564,"despesa_funcao_"&amp;$E33)=0,"",SUMIFS('Dados DCA'!$L$9:$L$564,'Dados DCA'!$C$9:$C$564,$C33,'Dados DCA'!$E$9:$E$564,$D33,'Dados DCA'!$F$9:$F$564,"despesa_funcao_"&amp;$E33))</f>
        <v>8777919.38</v>
      </c>
      <c r="H33" s="6" t="n">
        <f aca="false">IF(OR(G33="",SUMIFS('Cálculos Municipais'!$T$9:$T$28,'Cálculos Municipais'!$C$9:$C$28,$C33,'Cálculos Municipais'!$D$9:$D$28,$D33)=0),"",G33*SUMIFS('Cálculos Municipais'!$T$9:$T$28,'Cálculos Municipais'!$C$9:$C$28,$C33,'Cálculos Municipais'!$D$9:$D$28,$D33))</f>
        <v>12141824.5266927</v>
      </c>
      <c r="I33" s="8" t="n">
        <f aca="false">IF(OR(G33="",SUMIFS('Dados DCA'!$L$9:$L$564,'Dados DCA'!$C$9:$C$564,$C33,'Dados DCA'!$E$9:$E$564,$D33,'Dados DCA'!$F$9:$F$564,"despesa_empenhada_exceto_intra")=0),"",G33/SUMIFS('Dados DCA'!$L$9:$L$564,'Dados DCA'!$C$9:$C$564,$C33,'Dados DCA'!$E$9:$E$564,$D33,'Dados DCA'!$F$9:$F$564,"despesa_empenhada_exceto_intra"))</f>
        <v>0.0615374019577106</v>
      </c>
      <c r="J33" s="12" t="s">
        <v>116</v>
      </c>
    </row>
    <row r="34" customFormat="false" ht="15" hidden="false" customHeight="false" outlineLevel="0" collapsed="false">
      <c r="C34" s="12" t="s">
        <v>5</v>
      </c>
      <c r="D34" s="16" t="n">
        <v>2018</v>
      </c>
      <c r="E34" s="12" t="s">
        <v>266</v>
      </c>
      <c r="F34" s="12" t="s">
        <v>267</v>
      </c>
      <c r="G34" s="6" t="n">
        <f aca="false">IF(COUNTIFS('Dados DCA'!$C$9:$C$564,$C34,'Dados DCA'!$E$9:$E$564,$D34,'Dados DCA'!$F$9:$F$564,"despesa_funcao_"&amp;$E34)=0,"",SUMIFS('Dados DCA'!$L$9:$L$564,'Dados DCA'!$C$9:$C$564,$C34,'Dados DCA'!$E$9:$E$564,$D34,'Dados DCA'!$F$9:$F$564,"despesa_funcao_"&amp;$E34))</f>
        <v>1331386.57</v>
      </c>
      <c r="H34" s="6" t="n">
        <f aca="false">IF(OR(G34="",SUMIFS('Cálculos Municipais'!$T$9:$T$28,'Cálculos Municipais'!$C$9:$C$28,$C34,'Cálculos Municipais'!$D$9:$D$28,$D34)=0),"",G34*SUMIFS('Cálculos Municipais'!$T$9:$T$28,'Cálculos Municipais'!$C$9:$C$28,$C34,'Cálculos Municipais'!$D$9:$D$28,$D34))</f>
        <v>1841605.21535062</v>
      </c>
      <c r="I34" s="8" t="n">
        <f aca="false">IF(OR(G34="",SUMIFS('Dados DCA'!$L$9:$L$564,'Dados DCA'!$C$9:$C$564,$C34,'Dados DCA'!$E$9:$E$564,$D34,'Dados DCA'!$F$9:$F$564,"despesa_empenhada_exceto_intra")=0),"",G34/SUMIFS('Dados DCA'!$L$9:$L$564,'Dados DCA'!$C$9:$C$564,$C34,'Dados DCA'!$E$9:$E$564,$D34,'Dados DCA'!$F$9:$F$564,"despesa_empenhada_exceto_intra"))</f>
        <v>0.00933365493260973</v>
      </c>
      <c r="J34" s="12" t="s">
        <v>116</v>
      </c>
    </row>
    <row r="35" customFormat="false" ht="15" hidden="false" customHeight="false" outlineLevel="0" collapsed="false">
      <c r="C35" s="12" t="s">
        <v>5</v>
      </c>
      <c r="D35" s="16" t="n">
        <v>2018</v>
      </c>
      <c r="E35" s="12" t="s">
        <v>268</v>
      </c>
      <c r="F35" s="12" t="s">
        <v>269</v>
      </c>
      <c r="G35" s="6" t="n">
        <f aca="false">IF(COUNTIFS('Dados DCA'!$C$9:$C$564,$C35,'Dados DCA'!$E$9:$E$564,$D35,'Dados DCA'!$F$9:$F$564,"despesa_funcao_"&amp;$E35)=0,"",SUMIFS('Dados DCA'!$L$9:$L$564,'Dados DCA'!$C$9:$C$564,$C35,'Dados DCA'!$E$9:$E$564,$D35,'Dados DCA'!$F$9:$F$564,"despesa_funcao_"&amp;$E35))</f>
        <v>203126.5</v>
      </c>
      <c r="H35" s="6" t="n">
        <f aca="false">IF(OR(G35="",SUMIFS('Cálculos Municipais'!$T$9:$T$28,'Cálculos Municipais'!$C$9:$C$28,$C35,'Cálculos Municipais'!$D$9:$D$28,$D35)=0),"",G35*SUMIFS('Cálculos Municipais'!$T$9:$T$28,'Cálculos Municipais'!$C$9:$C$28,$C35,'Cálculos Municipais'!$D$9:$D$28,$D35))</f>
        <v>280969.351956072</v>
      </c>
      <c r="I35" s="8" t="n">
        <f aca="false">IF(OR(G35="",SUMIFS('Dados DCA'!$L$9:$L$564,'Dados DCA'!$C$9:$C$564,$C35,'Dados DCA'!$E$9:$E$564,$D35,'Dados DCA'!$F$9:$F$564,"despesa_empenhada_exceto_intra")=0),"",G35/SUMIFS('Dados DCA'!$L$9:$L$564,'Dados DCA'!$C$9:$C$564,$C35,'Dados DCA'!$E$9:$E$564,$D35,'Dados DCA'!$F$9:$F$564,"despesa_empenhada_exceto_intra"))</f>
        <v>0.00142401365718204</v>
      </c>
      <c r="J35" s="12" t="s">
        <v>116</v>
      </c>
    </row>
    <row r="36" customFormat="false" ht="15" hidden="false" customHeight="false" outlineLevel="0" collapsed="false">
      <c r="C36" s="12" t="s">
        <v>5</v>
      </c>
      <c r="D36" s="16" t="n">
        <v>2018</v>
      </c>
      <c r="E36" s="12" t="s">
        <v>270</v>
      </c>
      <c r="F36" s="12" t="s">
        <v>271</v>
      </c>
      <c r="G36" s="6" t="n">
        <f aca="false">IF(COUNTIFS('Dados DCA'!$C$9:$C$564,$C36,'Dados DCA'!$E$9:$E$564,$D36,'Dados DCA'!$F$9:$F$564,"despesa_funcao_"&amp;$E36)=0,"",SUMIFS('Dados DCA'!$L$9:$L$564,'Dados DCA'!$C$9:$C$564,$C36,'Dados DCA'!$E$9:$E$564,$D36,'Dados DCA'!$F$9:$F$564,"despesa_funcao_"&amp;$E36))</f>
        <v>1866665.33</v>
      </c>
      <c r="H36" s="6" t="n">
        <f aca="false">IF(OR(G36="",SUMIFS('Cálculos Municipais'!$T$9:$T$28,'Cálculos Municipais'!$C$9:$C$28,$C36,'Cálculos Municipais'!$D$9:$D$28,$D36)=0),"",G36*SUMIFS('Cálculos Municipais'!$T$9:$T$28,'Cálculos Municipais'!$C$9:$C$28,$C36,'Cálculos Municipais'!$D$9:$D$28,$D36))</f>
        <v>2582015.38493977</v>
      </c>
      <c r="I36" s="8" t="n">
        <f aca="false">IF(OR(G36="",SUMIFS('Dados DCA'!$L$9:$L$564,'Dados DCA'!$C$9:$C$564,$C36,'Dados DCA'!$E$9:$E$564,$D36,'Dados DCA'!$F$9:$F$564,"despesa_empenhada_exceto_intra")=0),"",G36/SUMIFS('Dados DCA'!$L$9:$L$564,'Dados DCA'!$C$9:$C$564,$C36,'Dados DCA'!$E$9:$E$564,$D36,'Dados DCA'!$F$9:$F$564,"despesa_empenhada_exceto_intra"))</f>
        <v>0.0130862143703959</v>
      </c>
      <c r="J36" s="12" t="s">
        <v>116</v>
      </c>
    </row>
    <row r="37" customFormat="false" ht="15" hidden="false" customHeight="false" outlineLevel="0" collapsed="false">
      <c r="C37" s="12" t="s">
        <v>5</v>
      </c>
      <c r="D37" s="16" t="n">
        <v>2018</v>
      </c>
      <c r="E37" s="12" t="s">
        <v>280</v>
      </c>
      <c r="F37" s="12" t="s">
        <v>281</v>
      </c>
      <c r="G37" s="6" t="n">
        <f aca="false">IF(COUNTIFS('Dados DCA'!$C$9:$C$564,$C37,'Dados DCA'!$E$9:$E$564,$D37,'Dados DCA'!$F$9:$F$564,"despesa_funcao_"&amp;$E37)=0,"",SUMIFS('Dados DCA'!$L$9:$L$564,'Dados DCA'!$C$9:$C$564,$C37,'Dados DCA'!$E$9:$E$564,$D37,'Dados DCA'!$F$9:$F$564,"despesa_funcao_"&amp;$E37))</f>
        <v>44.13</v>
      </c>
      <c r="H37" s="6" t="n">
        <f aca="false">IF(OR(G37="",SUMIFS('Cálculos Municipais'!$T$9:$T$28,'Cálculos Municipais'!$C$9:$C$28,$C37,'Cálculos Municipais'!$D$9:$D$28,$D37)=0),"",G37*SUMIFS('Cálculos Municipais'!$T$9:$T$28,'Cálculos Municipais'!$C$9:$C$28,$C37,'Cálculos Municipais'!$D$9:$D$28,$D37))</f>
        <v>61.0416538552157</v>
      </c>
      <c r="I37" s="8" t="n">
        <f aca="false">IF(OR(G37="",SUMIFS('Dados DCA'!$L$9:$L$564,'Dados DCA'!$C$9:$C$564,$C37,'Dados DCA'!$E$9:$E$564,$D37,'Dados DCA'!$F$9:$F$564,"despesa_empenhada_exceto_intra")=0),"",G37/SUMIFS('Dados DCA'!$L$9:$L$564,'Dados DCA'!$C$9:$C$564,$C37,'Dados DCA'!$E$9:$E$564,$D37,'Dados DCA'!$F$9:$F$564,"despesa_empenhada_exceto_intra"))</f>
        <v>3.09372350192828E-007</v>
      </c>
      <c r="J37" s="12" t="s">
        <v>116</v>
      </c>
    </row>
    <row r="38" customFormat="false" ht="15" hidden="false" customHeight="false" outlineLevel="0" collapsed="false">
      <c r="C38" s="12" t="s">
        <v>5</v>
      </c>
      <c r="D38" s="16" t="n">
        <v>2018</v>
      </c>
      <c r="E38" s="12" t="s">
        <v>272</v>
      </c>
      <c r="F38" s="12" t="s">
        <v>273</v>
      </c>
      <c r="G38" s="6" t="n">
        <f aca="false">IF(COUNTIFS('Dados DCA'!$C$9:$C$564,$C38,'Dados DCA'!$E$9:$E$564,$D38,'Dados DCA'!$F$9:$F$564,"despesa_funcao_"&amp;$E38)=0,"",SUMIFS('Dados DCA'!$L$9:$L$564,'Dados DCA'!$C$9:$C$564,$C38,'Dados DCA'!$E$9:$E$564,$D38,'Dados DCA'!$F$9:$F$564,"despesa_funcao_"&amp;$E38))</f>
        <v>141099.7</v>
      </c>
      <c r="H38" s="6" t="n">
        <f aca="false">IF(OR(G38="",SUMIFS('Cálculos Municipais'!$T$9:$T$28,'Cálculos Municipais'!$C$9:$C$28,$C38,'Cálculos Municipais'!$D$9:$D$28,$D38)=0),"",G38*SUMIFS('Cálculos Municipais'!$T$9:$T$28,'Cálculos Municipais'!$C$9:$C$28,$C38,'Cálculos Municipais'!$D$9:$D$28,$D38))</f>
        <v>195172.423441531</v>
      </c>
      <c r="I38" s="8" t="n">
        <f aca="false">IF(OR(G38="",SUMIFS('Dados DCA'!$L$9:$L$564,'Dados DCA'!$C$9:$C$564,$C38,'Dados DCA'!$E$9:$E$564,$D38,'Dados DCA'!$F$9:$F$564,"despesa_empenhada_exceto_intra")=0),"",G38/SUMIFS('Dados DCA'!$L$9:$L$564,'Dados DCA'!$C$9:$C$564,$C38,'Dados DCA'!$E$9:$E$564,$D38,'Dados DCA'!$F$9:$F$564,"despesa_empenhada_exceto_intra"))</f>
        <v>0.000989176202141466</v>
      </c>
      <c r="J38" s="12" t="s">
        <v>116</v>
      </c>
    </row>
    <row r="39" customFormat="false" ht="15" hidden="false" customHeight="false" outlineLevel="0" collapsed="false">
      <c r="C39" s="12" t="s">
        <v>5</v>
      </c>
      <c r="D39" s="16" t="n">
        <v>2018</v>
      </c>
      <c r="E39" s="12" t="s">
        <v>282</v>
      </c>
      <c r="F39" s="12" t="s">
        <v>283</v>
      </c>
      <c r="G39" s="6" t="n">
        <f aca="false">IF(COUNTIFS('Dados DCA'!$C$9:$C$564,$C39,'Dados DCA'!$E$9:$E$564,$D39,'Dados DCA'!$F$9:$F$564,"despesa_funcao_"&amp;$E39)=0,"",SUMIFS('Dados DCA'!$L$9:$L$564,'Dados DCA'!$C$9:$C$564,$C39,'Dados DCA'!$E$9:$E$564,$D39,'Dados DCA'!$F$9:$F$564,"despesa_funcao_"&amp;$E39))</f>
        <v>163589.16</v>
      </c>
      <c r="H39" s="6" t="n">
        <f aca="false">IF(OR(G39="",SUMIFS('Cálculos Municipais'!$T$9:$T$28,'Cálculos Municipais'!$C$9:$C$28,$C39,'Cálculos Municipais'!$D$9:$D$28,$D39)=0),"",G39*SUMIFS('Cálculos Municipais'!$T$9:$T$28,'Cálculos Municipais'!$C$9:$C$28,$C39,'Cálculos Municipais'!$D$9:$D$28,$D39))</f>
        <v>226280.373423646</v>
      </c>
      <c r="I39" s="8" t="n">
        <f aca="false">IF(OR(G39="",SUMIFS('Dados DCA'!$L$9:$L$564,'Dados DCA'!$C$9:$C$564,$C39,'Dados DCA'!$E$9:$E$564,$D39,'Dados DCA'!$F$9:$F$564,"despesa_empenhada_exceto_intra")=0),"",G39/SUMIFS('Dados DCA'!$L$9:$L$564,'Dados DCA'!$C$9:$C$564,$C39,'Dados DCA'!$E$9:$E$564,$D39,'Dados DCA'!$F$9:$F$564,"despesa_empenhada_exceto_intra"))</f>
        <v>0.00114683804430706</v>
      </c>
      <c r="J39" s="12" t="s">
        <v>116</v>
      </c>
    </row>
    <row r="40" customFormat="false" ht="15" hidden="false" customHeight="false" outlineLevel="0" collapsed="false">
      <c r="C40" s="12" t="s">
        <v>5</v>
      </c>
      <c r="D40" s="16" t="n">
        <v>2018</v>
      </c>
      <c r="E40" s="12" t="s">
        <v>274</v>
      </c>
      <c r="F40" s="12" t="s">
        <v>275</v>
      </c>
      <c r="G40" s="6" t="n">
        <f aca="false">IF(COUNTIFS('Dados DCA'!$C$9:$C$564,$C40,'Dados DCA'!$E$9:$E$564,$D40,'Dados DCA'!$F$9:$F$564,"despesa_funcao_"&amp;$E40)=0,"",SUMIFS('Dados DCA'!$L$9:$L$564,'Dados DCA'!$C$9:$C$564,$C40,'Dados DCA'!$E$9:$E$564,$D40,'Dados DCA'!$F$9:$F$564,"despesa_funcao_"&amp;$E40))</f>
        <v>998649.72</v>
      </c>
      <c r="H40" s="6" t="n">
        <f aca="false">IF(OR(G40="",SUMIFS('Cálculos Municipais'!$T$9:$T$28,'Cálculos Municipais'!$C$9:$C$28,$C40,'Cálculos Municipais'!$D$9:$D$28,$D40)=0),"",G40*SUMIFS('Cálculos Municipais'!$T$9:$T$28,'Cálculos Municipais'!$C$9:$C$28,$C40,'Cálculos Municipais'!$D$9:$D$28,$D40))</f>
        <v>1381355.77908108</v>
      </c>
      <c r="I40" s="8" t="n">
        <f aca="false">IF(OR(G40="",SUMIFS('Dados DCA'!$L$9:$L$564,'Dados DCA'!$C$9:$C$564,$C40,'Dados DCA'!$E$9:$E$564,$D40,'Dados DCA'!$F$9:$F$564,"despesa_empenhada_exceto_intra")=0),"",G40/SUMIFS('Dados DCA'!$L$9:$L$564,'Dados DCA'!$C$9:$C$564,$C40,'Dados DCA'!$E$9:$E$564,$D40,'Dados DCA'!$F$9:$F$564,"despesa_empenhada_exceto_intra"))</f>
        <v>0.00700101089725378</v>
      </c>
      <c r="J40" s="12" t="s">
        <v>116</v>
      </c>
    </row>
    <row r="41" customFormat="false" ht="15" hidden="false" customHeight="false" outlineLevel="0" collapsed="false">
      <c r="C41" s="12" t="s">
        <v>5</v>
      </c>
      <c r="D41" s="16" t="n">
        <v>2019</v>
      </c>
      <c r="E41" s="12" t="s">
        <v>246</v>
      </c>
      <c r="F41" s="12" t="s">
        <v>247</v>
      </c>
      <c r="G41" s="6" t="n">
        <f aca="false">IF(COUNTIFS('Dados DCA'!$C$9:$C$564,$C41,'Dados DCA'!$E$9:$E$564,$D41,'Dados DCA'!$F$9:$F$564,"despesa_funcao_"&amp;$E41)=0,"",SUMIFS('Dados DCA'!$L$9:$L$564,'Dados DCA'!$C$9:$C$564,$C41,'Dados DCA'!$E$9:$E$564,$D41,'Dados DCA'!$F$9:$F$564,"despesa_funcao_"&amp;$E41))</f>
        <v>5442609.38</v>
      </c>
      <c r="H41" s="6" t="n">
        <f aca="false">IF(OR(G41="",SUMIFS('Cálculos Municipais'!$T$9:$T$28,'Cálculos Municipais'!$C$9:$C$28,$C41,'Cálculos Municipais'!$D$9:$D$28,$D41)=0),"",G41*SUMIFS('Cálculos Municipais'!$T$9:$T$28,'Cálculos Municipais'!$C$9:$C$28,$C41,'Cálculos Municipais'!$D$9:$D$28,$D41))</f>
        <v>7257427.26115372</v>
      </c>
      <c r="I41" s="8" t="n">
        <f aca="false">IF(OR(G41="",SUMIFS('Dados DCA'!$L$9:$L$564,'Dados DCA'!$C$9:$C$564,$C41,'Dados DCA'!$E$9:$E$564,$D41,'Dados DCA'!$F$9:$F$564,"despesa_empenhada_exceto_intra")=0),"",G41/SUMIFS('Dados DCA'!$L$9:$L$564,'Dados DCA'!$C$9:$C$564,$C41,'Dados DCA'!$E$9:$E$564,$D41,'Dados DCA'!$F$9:$F$564,"despesa_empenhada_exceto_intra"))</f>
        <v>0.0352332211017281</v>
      </c>
      <c r="J41" s="12" t="s">
        <v>139</v>
      </c>
    </row>
    <row r="42" customFormat="false" ht="15" hidden="false" customHeight="false" outlineLevel="0" collapsed="false">
      <c r="C42" s="12" t="s">
        <v>5</v>
      </c>
      <c r="D42" s="16" t="n">
        <v>2019</v>
      </c>
      <c r="E42" s="12" t="s">
        <v>248</v>
      </c>
      <c r="F42" s="12" t="s">
        <v>249</v>
      </c>
      <c r="G42" s="6" t="n">
        <f aca="false">IF(COUNTIFS('Dados DCA'!$C$9:$C$564,$C42,'Dados DCA'!$E$9:$E$564,$D42,'Dados DCA'!$F$9:$F$564,"despesa_funcao_"&amp;$E42)=0,"",SUMIFS('Dados DCA'!$L$9:$L$564,'Dados DCA'!$C$9:$C$564,$C42,'Dados DCA'!$E$9:$E$564,$D42,'Dados DCA'!$F$9:$F$564,"despesa_funcao_"&amp;$E42))</f>
        <v>29370832.43</v>
      </c>
      <c r="H42" s="6" t="n">
        <f aca="false">IF(OR(G42="",SUMIFS('Cálculos Municipais'!$T$9:$T$28,'Cálculos Municipais'!$C$9:$C$28,$C42,'Cálculos Municipais'!$D$9:$D$28,$D42)=0),"",G42*SUMIFS('Cálculos Municipais'!$T$9:$T$28,'Cálculos Municipais'!$C$9:$C$28,$C42,'Cálculos Municipais'!$D$9:$D$28,$D42))</f>
        <v>39164427.405639</v>
      </c>
      <c r="I42" s="8" t="n">
        <f aca="false">IF(OR(G42="",SUMIFS('Dados DCA'!$L$9:$L$564,'Dados DCA'!$C$9:$C$564,$C42,'Dados DCA'!$E$9:$E$564,$D42,'Dados DCA'!$F$9:$F$564,"despesa_empenhada_exceto_intra")=0),"",G42/SUMIFS('Dados DCA'!$L$9:$L$564,'Dados DCA'!$C$9:$C$564,$C42,'Dados DCA'!$E$9:$E$564,$D42,'Dados DCA'!$F$9:$F$564,"despesa_empenhada_exceto_intra"))</f>
        <v>0.190134724117937</v>
      </c>
      <c r="J42" s="12" t="s">
        <v>139</v>
      </c>
    </row>
    <row r="43" customFormat="false" ht="15" hidden="false" customHeight="false" outlineLevel="0" collapsed="false">
      <c r="C43" s="12" t="s">
        <v>5</v>
      </c>
      <c r="D43" s="16" t="n">
        <v>2019</v>
      </c>
      <c r="E43" s="12" t="s">
        <v>250</v>
      </c>
      <c r="F43" s="12" t="s">
        <v>251</v>
      </c>
      <c r="G43" s="6" t="n">
        <f aca="false">IF(COUNTIFS('Dados DCA'!$C$9:$C$564,$C43,'Dados DCA'!$E$9:$E$564,$D43,'Dados DCA'!$F$9:$F$564,"despesa_funcao_"&amp;$E43)=0,"",SUMIFS('Dados DCA'!$L$9:$L$564,'Dados DCA'!$C$9:$C$564,$C43,'Dados DCA'!$E$9:$E$564,$D43,'Dados DCA'!$F$9:$F$564,"despesa_funcao_"&amp;$E43))</f>
        <v>4679154.04</v>
      </c>
      <c r="H43" s="6" t="n">
        <f aca="false">IF(OR(G43="",SUMIFS('Cálculos Municipais'!$T$9:$T$28,'Cálculos Municipais'!$C$9:$C$28,$C43,'Cálculos Municipais'!$D$9:$D$28,$D43)=0),"",G43*SUMIFS('Cálculos Municipais'!$T$9:$T$28,'Cálculos Municipais'!$C$9:$C$28,$C43,'Cálculos Municipais'!$D$9:$D$28,$D43))</f>
        <v>6239400.57389046</v>
      </c>
      <c r="I43" s="8" t="n">
        <f aca="false">IF(OR(G43="",SUMIFS('Dados DCA'!$L$9:$L$564,'Dados DCA'!$C$9:$C$564,$C43,'Dados DCA'!$E$9:$E$564,$D43,'Dados DCA'!$F$9:$F$564,"despesa_empenhada_exceto_intra")=0),"",G43/SUMIFS('Dados DCA'!$L$9:$L$564,'Dados DCA'!$C$9:$C$564,$C43,'Dados DCA'!$E$9:$E$564,$D43,'Dados DCA'!$F$9:$F$564,"despesa_empenhada_exceto_intra"))</f>
        <v>0.0302909243250458</v>
      </c>
      <c r="J43" s="12" t="s">
        <v>139</v>
      </c>
    </row>
    <row r="44" customFormat="false" ht="15" hidden="false" customHeight="false" outlineLevel="0" collapsed="false">
      <c r="C44" s="12" t="s">
        <v>5</v>
      </c>
      <c r="D44" s="16" t="n">
        <v>2019</v>
      </c>
      <c r="E44" s="12" t="s">
        <v>252</v>
      </c>
      <c r="F44" s="12" t="s">
        <v>253</v>
      </c>
      <c r="G44" s="6" t="n">
        <f aca="false">IF(COUNTIFS('Dados DCA'!$C$9:$C$564,$C44,'Dados DCA'!$E$9:$E$564,$D44,'Dados DCA'!$F$9:$F$564,"despesa_funcao_"&amp;$E44)=0,"",SUMIFS('Dados DCA'!$L$9:$L$564,'Dados DCA'!$C$9:$C$564,$C44,'Dados DCA'!$E$9:$E$564,$D44,'Dados DCA'!$F$9:$F$564,"despesa_funcao_"&amp;$E44))</f>
        <v>17904140.97</v>
      </c>
      <c r="H44" s="6" t="n">
        <f aca="false">IF(OR(G44="",SUMIFS('Cálculos Municipais'!$T$9:$T$28,'Cálculos Municipais'!$C$9:$C$28,$C44,'Cálculos Municipais'!$D$9:$D$28,$D44)=0),"",G44*SUMIFS('Cálculos Municipais'!$T$9:$T$28,'Cálculos Municipais'!$C$9:$C$28,$C44,'Cálculos Municipais'!$D$9:$D$28,$D44))</f>
        <v>23874210.2714006</v>
      </c>
      <c r="I44" s="8" t="n">
        <f aca="false">IF(OR(G44="",SUMIFS('Dados DCA'!$L$9:$L$564,'Dados DCA'!$C$9:$C$564,$C44,'Dados DCA'!$E$9:$E$564,$D44,'Dados DCA'!$F$9:$F$564,"despesa_empenhada_exceto_intra")=0),"",G44/SUMIFS('Dados DCA'!$L$9:$L$564,'Dados DCA'!$C$9:$C$564,$C44,'Dados DCA'!$E$9:$E$564,$D44,'Dados DCA'!$F$9:$F$564,"despesa_empenhada_exceto_intra"))</f>
        <v>0.115904066117734</v>
      </c>
      <c r="J44" s="12" t="s">
        <v>139</v>
      </c>
    </row>
    <row r="45" customFormat="false" ht="15" hidden="false" customHeight="false" outlineLevel="0" collapsed="false">
      <c r="C45" s="12" t="s">
        <v>5</v>
      </c>
      <c r="D45" s="16" t="n">
        <v>2019</v>
      </c>
      <c r="E45" s="12" t="s">
        <v>254</v>
      </c>
      <c r="F45" s="12" t="s">
        <v>255</v>
      </c>
      <c r="G45" s="6" t="n">
        <f aca="false">IF(COUNTIFS('Dados DCA'!$C$9:$C$564,$C45,'Dados DCA'!$E$9:$E$564,$D45,'Dados DCA'!$F$9:$F$564,"despesa_funcao_"&amp;$E45)=0,"",SUMIFS('Dados DCA'!$L$9:$L$564,'Dados DCA'!$C$9:$C$564,$C45,'Dados DCA'!$E$9:$E$564,$D45,'Dados DCA'!$F$9:$F$564,"despesa_funcao_"&amp;$E45))</f>
        <v>34999010.43</v>
      </c>
      <c r="H45" s="6" t="n">
        <f aca="false">IF(OR(G45="",SUMIFS('Cálculos Municipais'!$T$9:$T$28,'Cálculos Municipais'!$C$9:$C$28,$C45,'Cálculos Municipais'!$D$9:$D$28,$D45)=0),"",G45*SUMIFS('Cálculos Municipais'!$T$9:$T$28,'Cálculos Municipais'!$C$9:$C$28,$C45,'Cálculos Municipais'!$D$9:$D$28,$D45))</f>
        <v>46669300.4538359</v>
      </c>
      <c r="I45" s="8" t="n">
        <f aca="false">IF(OR(G45="",SUMIFS('Dados DCA'!$L$9:$L$564,'Dados DCA'!$C$9:$C$564,$C45,'Dados DCA'!$E$9:$E$564,$D45,'Dados DCA'!$F$9:$F$564,"despesa_empenhada_exceto_intra")=0),"",G45/SUMIFS('Dados DCA'!$L$9:$L$564,'Dados DCA'!$C$9:$C$564,$C45,'Dados DCA'!$E$9:$E$564,$D45,'Dados DCA'!$F$9:$F$564,"despesa_empenhada_exceto_intra"))</f>
        <v>0.226569240363503</v>
      </c>
      <c r="J45" s="12" t="s">
        <v>139</v>
      </c>
    </row>
    <row r="46" customFormat="false" ht="15" hidden="false" customHeight="false" outlineLevel="0" collapsed="false">
      <c r="C46" s="12" t="s">
        <v>5</v>
      </c>
      <c r="D46" s="16" t="n">
        <v>2019</v>
      </c>
      <c r="E46" s="12" t="s">
        <v>256</v>
      </c>
      <c r="F46" s="12" t="s">
        <v>257</v>
      </c>
      <c r="G46" s="6" t="n">
        <f aca="false">IF(COUNTIFS('Dados DCA'!$C$9:$C$564,$C46,'Dados DCA'!$E$9:$E$564,$D46,'Dados DCA'!$F$9:$F$564,"despesa_funcao_"&amp;$E46)=0,"",SUMIFS('Dados DCA'!$L$9:$L$564,'Dados DCA'!$C$9:$C$564,$C46,'Dados DCA'!$E$9:$E$564,$D46,'Dados DCA'!$F$9:$F$564,"despesa_funcao_"&amp;$E46))</f>
        <v>4103.55</v>
      </c>
      <c r="H46" s="6" t="n">
        <f aca="false">IF(OR(G46="",SUMIFS('Cálculos Municipais'!$T$9:$T$28,'Cálculos Municipais'!$C$9:$C$28,$C46,'Cálculos Municipais'!$D$9:$D$28,$D46)=0),"",G46*SUMIFS('Cálculos Municipais'!$T$9:$T$28,'Cálculos Municipais'!$C$9:$C$28,$C46,'Cálculos Municipais'!$D$9:$D$28,$D46))</f>
        <v>5471.86350483734</v>
      </c>
      <c r="I46" s="8" t="n">
        <f aca="false">IF(OR(G46="",SUMIFS('Dados DCA'!$L$9:$L$564,'Dados DCA'!$C$9:$C$564,$C46,'Dados DCA'!$E$9:$E$564,$D46,'Dados DCA'!$F$9:$F$564,"despesa_empenhada_exceto_intra")=0),"",G46/SUMIFS('Dados DCA'!$L$9:$L$564,'Dados DCA'!$C$9:$C$564,$C46,'Dados DCA'!$E$9:$E$564,$D46,'Dados DCA'!$F$9:$F$564,"despesa_empenhada_exceto_intra"))</f>
        <v>2.65646998263903E-005</v>
      </c>
      <c r="J46" s="12" t="s">
        <v>139</v>
      </c>
    </row>
    <row r="47" customFormat="false" ht="15" hidden="false" customHeight="false" outlineLevel="0" collapsed="false">
      <c r="C47" s="12" t="s">
        <v>5</v>
      </c>
      <c r="D47" s="16" t="n">
        <v>2019</v>
      </c>
      <c r="E47" s="12" t="s">
        <v>258</v>
      </c>
      <c r="F47" s="12" t="s">
        <v>259</v>
      </c>
      <c r="G47" s="6" t="n">
        <f aca="false">IF(COUNTIFS('Dados DCA'!$C$9:$C$564,$C47,'Dados DCA'!$E$9:$E$564,$D47,'Dados DCA'!$F$9:$F$564,"despesa_funcao_"&amp;$E47)=0,"",SUMIFS('Dados DCA'!$L$9:$L$564,'Dados DCA'!$C$9:$C$564,$C47,'Dados DCA'!$E$9:$E$564,$D47,'Dados DCA'!$F$9:$F$564,"despesa_funcao_"&amp;$E47))</f>
        <v>45992129.97</v>
      </c>
      <c r="H47" s="6" t="n">
        <f aca="false">IF(OR(G47="",SUMIFS('Cálculos Municipais'!$T$9:$T$28,'Cálculos Municipais'!$C$9:$C$28,$C47,'Cálculos Municipais'!$D$9:$D$28,$D47)=0),"",G47*SUMIFS('Cálculos Municipais'!$T$9:$T$28,'Cálculos Municipais'!$C$9:$C$28,$C47,'Cálculos Municipais'!$D$9:$D$28,$D47))</f>
        <v>61328034.8704362</v>
      </c>
      <c r="I47" s="8" t="n">
        <f aca="false">IF(OR(G47="",SUMIFS('Dados DCA'!$L$9:$L$564,'Dados DCA'!$C$9:$C$564,$C47,'Dados DCA'!$E$9:$E$564,$D47,'Dados DCA'!$F$9:$F$564,"despesa_empenhada_exceto_intra")=0),"",G47/SUMIFS('Dados DCA'!$L$9:$L$564,'Dados DCA'!$C$9:$C$564,$C47,'Dados DCA'!$E$9:$E$564,$D47,'Dados DCA'!$F$9:$F$564,"despesa_empenhada_exceto_intra"))</f>
        <v>0.297734187966366</v>
      </c>
      <c r="J47" s="12" t="s">
        <v>139</v>
      </c>
    </row>
    <row r="48" customFormat="false" ht="15" hidden="false" customHeight="false" outlineLevel="0" collapsed="false">
      <c r="C48" s="12" t="s">
        <v>5</v>
      </c>
      <c r="D48" s="16" t="n">
        <v>2019</v>
      </c>
      <c r="E48" s="12" t="s">
        <v>278</v>
      </c>
      <c r="F48" s="12" t="s">
        <v>279</v>
      </c>
      <c r="G48" s="6" t="n">
        <f aca="false">IF(COUNTIFS('Dados DCA'!$C$9:$C$564,$C48,'Dados DCA'!$E$9:$E$564,$D48,'Dados DCA'!$F$9:$F$564,"despesa_funcao_"&amp;$E48)=0,"",SUMIFS('Dados DCA'!$L$9:$L$564,'Dados DCA'!$C$9:$C$564,$C48,'Dados DCA'!$E$9:$E$564,$D48,'Dados DCA'!$F$9:$F$564,"despesa_funcao_"&amp;$E48))</f>
        <v>1764</v>
      </c>
      <c r="H48" s="6" t="n">
        <f aca="false">IF(OR(G48="",SUMIFS('Cálculos Municipais'!$T$9:$T$28,'Cálculos Municipais'!$C$9:$C$28,$C48,'Cálculos Municipais'!$D$9:$D$28,$D48)=0),"",G48*SUMIFS('Cálculos Municipais'!$T$9:$T$28,'Cálculos Municipais'!$C$9:$C$28,$C48,'Cálculos Municipais'!$D$9:$D$28,$D48))</f>
        <v>2352.19924761074</v>
      </c>
      <c r="I48" s="8" t="n">
        <f aca="false">IF(OR(G48="",SUMIFS('Dados DCA'!$L$9:$L$564,'Dados DCA'!$C$9:$C$564,$C48,'Dados DCA'!$E$9:$E$564,$D48,'Dados DCA'!$F$9:$F$564,"despesa_empenhada_exceto_intra")=0),"",G48/SUMIFS('Dados DCA'!$L$9:$L$564,'Dados DCA'!$C$9:$C$564,$C48,'Dados DCA'!$E$9:$E$564,$D48,'Dados DCA'!$F$9:$F$564,"despesa_empenhada_exceto_intra"))</f>
        <v>1.14194125802665E-005</v>
      </c>
      <c r="J48" s="12" t="s">
        <v>139</v>
      </c>
    </row>
    <row r="49" customFormat="false" ht="15" hidden="false" customHeight="false" outlineLevel="0" collapsed="false">
      <c r="C49" s="12" t="s">
        <v>5</v>
      </c>
      <c r="D49" s="16" t="n">
        <v>2019</v>
      </c>
      <c r="E49" s="12" t="s">
        <v>262</v>
      </c>
      <c r="F49" s="12" t="s">
        <v>263</v>
      </c>
      <c r="G49" s="6" t="n">
        <f aca="false">IF(COUNTIFS('Dados DCA'!$C$9:$C$564,$C49,'Dados DCA'!$E$9:$E$564,$D49,'Dados DCA'!$F$9:$F$564,"despesa_funcao_"&amp;$E49)=0,"",SUMIFS('Dados DCA'!$L$9:$L$564,'Dados DCA'!$C$9:$C$564,$C49,'Dados DCA'!$E$9:$E$564,$D49,'Dados DCA'!$F$9:$F$564,"despesa_funcao_"&amp;$E49))</f>
        <v>10962176.57</v>
      </c>
      <c r="H49" s="6" t="n">
        <f aca="false">IF(OR(G49="",SUMIFS('Cálculos Municipais'!$T$9:$T$28,'Cálculos Municipais'!$C$9:$C$28,$C49,'Cálculos Municipais'!$D$9:$D$28,$D49)=0),"",G49*SUMIFS('Cálculos Municipais'!$T$9:$T$28,'Cálculos Municipais'!$C$9:$C$28,$C49,'Cálculos Municipais'!$D$9:$D$28,$D49))</f>
        <v>14617473.6281917</v>
      </c>
      <c r="I49" s="8" t="n">
        <f aca="false">IF(OR(G49="",SUMIFS('Dados DCA'!$L$9:$L$564,'Dados DCA'!$C$9:$C$564,$C49,'Dados DCA'!$E$9:$E$564,$D49,'Dados DCA'!$F$9:$F$564,"despesa_empenhada_exceto_intra")=0),"",G49/SUMIFS('Dados DCA'!$L$9:$L$564,'Dados DCA'!$C$9:$C$564,$C49,'Dados DCA'!$E$9:$E$564,$D49,'Dados DCA'!$F$9:$F$564,"despesa_empenhada_exceto_intra"))</f>
        <v>0.0709646355048529</v>
      </c>
      <c r="J49" s="12" t="s">
        <v>139</v>
      </c>
    </row>
    <row r="50" customFormat="false" ht="15" hidden="false" customHeight="false" outlineLevel="0" collapsed="false">
      <c r="C50" s="12" t="s">
        <v>5</v>
      </c>
      <c r="D50" s="16" t="n">
        <v>2019</v>
      </c>
      <c r="E50" s="12" t="s">
        <v>266</v>
      </c>
      <c r="F50" s="12" t="s">
        <v>267</v>
      </c>
      <c r="G50" s="6" t="n">
        <f aca="false">IF(COUNTIFS('Dados DCA'!$C$9:$C$564,$C50,'Dados DCA'!$E$9:$E$564,$D50,'Dados DCA'!$F$9:$F$564,"despesa_funcao_"&amp;$E50)=0,"",SUMIFS('Dados DCA'!$L$9:$L$564,'Dados DCA'!$C$9:$C$564,$C50,'Dados DCA'!$E$9:$E$564,$D50,'Dados DCA'!$F$9:$F$564,"despesa_funcao_"&amp;$E50))</f>
        <v>1151001.56</v>
      </c>
      <c r="H50" s="6" t="n">
        <f aca="false">IF(OR(G50="",SUMIFS('Cálculos Municipais'!$T$9:$T$28,'Cálculos Municipais'!$C$9:$C$28,$C50,'Cálculos Municipais'!$D$9:$D$28,$D50)=0),"",G50*SUMIFS('Cálculos Municipais'!$T$9:$T$28,'Cálculos Municipais'!$C$9:$C$28,$C50,'Cálculos Municipais'!$D$9:$D$28,$D50))</f>
        <v>1534798.75477936</v>
      </c>
      <c r="I50" s="8" t="n">
        <f aca="false">IF(OR(G50="",SUMIFS('Dados DCA'!$L$9:$L$564,'Dados DCA'!$C$9:$C$564,$C50,'Dados DCA'!$E$9:$E$564,$D50,'Dados DCA'!$F$9:$F$564,"despesa_empenhada_exceto_intra")=0),"",G50/SUMIFS('Dados DCA'!$L$9:$L$564,'Dados DCA'!$C$9:$C$564,$C50,'Dados DCA'!$E$9:$E$564,$D50,'Dados DCA'!$F$9:$F$564,"despesa_empenhada_exceto_intra"))</f>
        <v>0.00745111207152514</v>
      </c>
      <c r="J50" s="12" t="s">
        <v>139</v>
      </c>
    </row>
    <row r="51" customFormat="false" ht="15" hidden="false" customHeight="false" outlineLevel="0" collapsed="false">
      <c r="C51" s="12" t="s">
        <v>5</v>
      </c>
      <c r="D51" s="16" t="n">
        <v>2019</v>
      </c>
      <c r="E51" s="12" t="s">
        <v>268</v>
      </c>
      <c r="F51" s="12" t="s">
        <v>269</v>
      </c>
      <c r="G51" s="6" t="n">
        <f aca="false">IF(COUNTIFS('Dados DCA'!$C$9:$C$564,$C51,'Dados DCA'!$E$9:$E$564,$D51,'Dados DCA'!$F$9:$F$564,"despesa_funcao_"&amp;$E51)=0,"",SUMIFS('Dados DCA'!$L$9:$L$564,'Dados DCA'!$C$9:$C$564,$C51,'Dados DCA'!$E$9:$E$564,$D51,'Dados DCA'!$F$9:$F$564,"despesa_funcao_"&amp;$E51))</f>
        <v>214059.25</v>
      </c>
      <c r="H51" s="6" t="n">
        <f aca="false">IF(OR(G51="",SUMIFS('Cálculos Municipais'!$T$9:$T$28,'Cálculos Municipais'!$C$9:$C$28,$C51,'Cálculos Municipais'!$D$9:$D$28,$D51)=0),"",G51*SUMIFS('Cálculos Municipais'!$T$9:$T$28,'Cálculos Municipais'!$C$9:$C$28,$C51,'Cálculos Municipais'!$D$9:$D$28,$D51))</f>
        <v>285436.51178805</v>
      </c>
      <c r="I51" s="8" t="n">
        <f aca="false">IF(OR(G51="",SUMIFS('Dados DCA'!$L$9:$L$564,'Dados DCA'!$C$9:$C$564,$C51,'Dados DCA'!$E$9:$E$564,$D51,'Dados DCA'!$F$9:$F$564,"despesa_empenhada_exceto_intra")=0),"",G51/SUMIFS('Dados DCA'!$L$9:$L$564,'Dados DCA'!$C$9:$C$564,$C51,'Dados DCA'!$E$9:$E$564,$D51,'Dados DCA'!$F$9:$F$564,"despesa_empenhada_exceto_intra"))</f>
        <v>0.00138573179839706</v>
      </c>
      <c r="J51" s="12" t="s">
        <v>139</v>
      </c>
    </row>
    <row r="52" customFormat="false" ht="15" hidden="false" customHeight="false" outlineLevel="0" collapsed="false">
      <c r="C52" s="12" t="s">
        <v>5</v>
      </c>
      <c r="D52" s="16" t="n">
        <v>2019</v>
      </c>
      <c r="E52" s="12" t="s">
        <v>270</v>
      </c>
      <c r="F52" s="12" t="s">
        <v>271</v>
      </c>
      <c r="G52" s="6" t="n">
        <f aca="false">IF(COUNTIFS('Dados DCA'!$C$9:$C$564,$C52,'Dados DCA'!$E$9:$E$564,$D52,'Dados DCA'!$F$9:$F$564,"despesa_funcao_"&amp;$E52)=0,"",SUMIFS('Dados DCA'!$L$9:$L$564,'Dados DCA'!$C$9:$C$564,$C52,'Dados DCA'!$E$9:$E$564,$D52,'Dados DCA'!$F$9:$F$564,"despesa_funcao_"&amp;$E52))</f>
        <v>2552890.85</v>
      </c>
      <c r="H52" s="6" t="n">
        <f aca="false">IF(OR(G52="",SUMIFS('Cálculos Municipais'!$T$9:$T$28,'Cálculos Municipais'!$C$9:$C$28,$C52,'Cálculos Municipais'!$D$9:$D$28,$D52)=0),"",G52*SUMIFS('Cálculos Municipais'!$T$9:$T$28,'Cálculos Municipais'!$C$9:$C$28,$C52,'Cálculos Municipais'!$D$9:$D$28,$D52))</f>
        <v>3404142.82120315</v>
      </c>
      <c r="I52" s="8" t="n">
        <f aca="false">IF(OR(G52="",SUMIFS('Dados DCA'!$L$9:$L$564,'Dados DCA'!$C$9:$C$564,$C52,'Dados DCA'!$E$9:$E$564,$D52,'Dados DCA'!$F$9:$F$564,"despesa_empenhada_exceto_intra")=0),"",G52/SUMIFS('Dados DCA'!$L$9:$L$564,'Dados DCA'!$C$9:$C$564,$C52,'Dados DCA'!$E$9:$E$564,$D52,'Dados DCA'!$F$9:$F$564,"despesa_empenhada_exceto_intra"))</f>
        <v>0.0165263684175381</v>
      </c>
      <c r="J52" s="12" t="s">
        <v>139</v>
      </c>
    </row>
    <row r="53" customFormat="false" ht="15" hidden="false" customHeight="false" outlineLevel="0" collapsed="false">
      <c r="C53" s="12" t="s">
        <v>5</v>
      </c>
      <c r="D53" s="16" t="n">
        <v>2019</v>
      </c>
      <c r="E53" s="12" t="s">
        <v>272</v>
      </c>
      <c r="F53" s="12" t="s">
        <v>273</v>
      </c>
      <c r="G53" s="6" t="n">
        <f aca="false">IF(COUNTIFS('Dados DCA'!$C$9:$C$564,$C53,'Dados DCA'!$E$9:$E$564,$D53,'Dados DCA'!$F$9:$F$564,"despesa_funcao_"&amp;$E53)=0,"",SUMIFS('Dados DCA'!$L$9:$L$564,'Dados DCA'!$C$9:$C$564,$C53,'Dados DCA'!$E$9:$E$564,$D53,'Dados DCA'!$F$9:$F$564,"despesa_funcao_"&amp;$E53))</f>
        <v>7124.8</v>
      </c>
      <c r="H53" s="6" t="n">
        <f aca="false">IF(OR(G53="",SUMIFS('Cálculos Municipais'!$T$9:$T$28,'Cálculos Municipais'!$C$9:$C$28,$C53,'Cálculos Municipais'!$D$9:$D$28,$D53)=0),"",G53*SUMIFS('Cálculos Municipais'!$T$9:$T$28,'Cálculos Municipais'!$C$9:$C$28,$C53,'Cálculos Municipais'!$D$9:$D$28,$D53))</f>
        <v>9500.53809488493</v>
      </c>
      <c r="I53" s="8" t="n">
        <f aca="false">IF(OR(G53="",SUMIFS('Dados DCA'!$L$9:$L$564,'Dados DCA'!$C$9:$C$564,$C53,'Dados DCA'!$E$9:$E$564,$D53,'Dados DCA'!$F$9:$F$564,"despesa_empenhada_exceto_intra")=0),"",G53/SUMIFS('Dados DCA'!$L$9:$L$564,'Dados DCA'!$C$9:$C$564,$C53,'Dados DCA'!$E$9:$E$564,$D53,'Dados DCA'!$F$9:$F$564,"despesa_empenhada_exceto_intra"))</f>
        <v>4.61230333060559E-005</v>
      </c>
      <c r="J53" s="12" t="s">
        <v>139</v>
      </c>
    </row>
    <row r="54" customFormat="false" ht="15" hidden="false" customHeight="false" outlineLevel="0" collapsed="false">
      <c r="C54" s="12" t="s">
        <v>5</v>
      </c>
      <c r="D54" s="16" t="n">
        <v>2019</v>
      </c>
      <c r="E54" s="12" t="s">
        <v>282</v>
      </c>
      <c r="F54" s="12" t="s">
        <v>283</v>
      </c>
      <c r="G54" s="6" t="n">
        <f aca="false">IF(COUNTIFS('Dados DCA'!$C$9:$C$564,$C54,'Dados DCA'!$E$9:$E$564,$D54,'Dados DCA'!$F$9:$F$564,"despesa_funcao_"&amp;$E54)=0,"",SUMIFS('Dados DCA'!$L$9:$L$564,'Dados DCA'!$C$9:$C$564,$C54,'Dados DCA'!$E$9:$E$564,$D54,'Dados DCA'!$F$9:$F$564,"despesa_funcao_"&amp;$E54))</f>
        <v>116000.41</v>
      </c>
      <c r="H54" s="6" t="n">
        <f aca="false">IF(OR(G54="",SUMIFS('Cálculos Municipais'!$T$9:$T$28,'Cálculos Municipais'!$C$9:$C$28,$C54,'Cálculos Municipais'!$D$9:$D$28,$D54)=0),"",G54*SUMIFS('Cálculos Municipais'!$T$9:$T$28,'Cálculos Municipais'!$C$9:$C$28,$C54,'Cálculos Municipais'!$D$9:$D$28,$D54))</f>
        <v>154680.315830237</v>
      </c>
      <c r="I54" s="8" t="n">
        <f aca="false">IF(OR(G54="",SUMIFS('Dados DCA'!$L$9:$L$564,'Dados DCA'!$C$9:$C$564,$C54,'Dados DCA'!$E$9:$E$564,$D54,'Dados DCA'!$F$9:$F$564,"despesa_empenhada_exceto_intra")=0),"",G54/SUMIFS('Dados DCA'!$L$9:$L$564,'Dados DCA'!$C$9:$C$564,$C54,'Dados DCA'!$E$9:$E$564,$D54,'Dados DCA'!$F$9:$F$564,"despesa_empenhada_exceto_intra"))</f>
        <v>0.000750939082352647</v>
      </c>
      <c r="J54" s="12" t="s">
        <v>139</v>
      </c>
    </row>
    <row r="55" customFormat="false" ht="15" hidden="false" customHeight="false" outlineLevel="0" collapsed="false">
      <c r="C55" s="12" t="s">
        <v>5</v>
      </c>
      <c r="D55" s="16" t="n">
        <v>2019</v>
      </c>
      <c r="E55" s="12" t="s">
        <v>274</v>
      </c>
      <c r="F55" s="12" t="s">
        <v>275</v>
      </c>
      <c r="G55" s="6" t="n">
        <f aca="false">IF(COUNTIFS('Dados DCA'!$C$9:$C$564,$C55,'Dados DCA'!$E$9:$E$564,$D55,'Dados DCA'!$F$9:$F$564,"despesa_funcao_"&amp;$E55)=0,"",SUMIFS('Dados DCA'!$L$9:$L$564,'Dados DCA'!$C$9:$C$564,$C55,'Dados DCA'!$E$9:$E$564,$D55,'Dados DCA'!$F$9:$F$564,"despesa_funcao_"&amp;$E55))</f>
        <v>1076796.97</v>
      </c>
      <c r="H55" s="6" t="n">
        <f aca="false">IF(OR(G55="",SUMIFS('Cálculos Municipais'!$T$9:$T$28,'Cálculos Municipais'!$C$9:$C$28,$C55,'Cálculos Municipais'!$D$9:$D$28,$D55)=0),"",G55*SUMIFS('Cálculos Municipais'!$T$9:$T$28,'Cálculos Municipais'!$C$9:$C$28,$C55,'Cálculos Municipais'!$D$9:$D$28,$D55))</f>
        <v>1435850.91987728</v>
      </c>
      <c r="I55" s="8" t="n">
        <f aca="false">IF(OR(G55="",SUMIFS('Dados DCA'!$L$9:$L$564,'Dados DCA'!$C$9:$C$564,$C55,'Dados DCA'!$E$9:$E$564,$D55,'Dados DCA'!$F$9:$F$564,"despesa_empenhada_exceto_intra")=0),"",G55/SUMIFS('Dados DCA'!$L$9:$L$564,'Dados DCA'!$C$9:$C$564,$C55,'Dados DCA'!$E$9:$E$564,$D55,'Dados DCA'!$F$9:$F$564,"despesa_empenhada_exceto_intra"))</f>
        <v>0.00697074198730773</v>
      </c>
      <c r="J55" s="12" t="s">
        <v>139</v>
      </c>
    </row>
    <row r="56" customFormat="false" ht="15" hidden="false" customHeight="false" outlineLevel="0" collapsed="false">
      <c r="C56" s="12" t="s">
        <v>5</v>
      </c>
      <c r="D56" s="16" t="n">
        <v>2020</v>
      </c>
      <c r="E56" s="12" t="s">
        <v>246</v>
      </c>
      <c r="F56" s="12" t="s">
        <v>247</v>
      </c>
      <c r="G56" s="6" t="n">
        <f aca="false">IF(COUNTIFS('Dados DCA'!$C$9:$C$564,$C56,'Dados DCA'!$E$9:$E$564,$D56,'Dados DCA'!$F$9:$F$564,"despesa_funcao_"&amp;$E56)=0,"",SUMIFS('Dados DCA'!$L$9:$L$564,'Dados DCA'!$C$9:$C$564,$C56,'Dados DCA'!$E$9:$E$564,$D56,'Dados DCA'!$F$9:$F$564,"despesa_funcao_"&amp;$E56))</f>
        <v>5270109.44</v>
      </c>
      <c r="H56" s="6" t="n">
        <f aca="false">IF(OR(G56="",SUMIFS('Cálculos Municipais'!$T$9:$T$28,'Cálculos Municipais'!$C$9:$C$28,$C56,'Cálculos Municipais'!$D$9:$D$28,$D56)=0),"",G56*SUMIFS('Cálculos Municipais'!$T$9:$T$28,'Cálculos Municipais'!$C$9:$C$28,$C56,'Cálculos Municipais'!$D$9:$D$28,$D56))</f>
        <v>6808727.32877053</v>
      </c>
      <c r="I56" s="8" t="n">
        <f aca="false">IF(OR(G56="",SUMIFS('Dados DCA'!$L$9:$L$564,'Dados DCA'!$C$9:$C$564,$C56,'Dados DCA'!$E$9:$E$564,$D56,'Dados DCA'!$F$9:$F$564,"despesa_empenhada_exceto_intra")=0),"",G56/SUMIFS('Dados DCA'!$L$9:$L$564,'Dados DCA'!$C$9:$C$564,$C56,'Dados DCA'!$E$9:$E$564,$D56,'Dados DCA'!$F$9:$F$564,"despesa_empenhada_exceto_intra"))</f>
        <v>0.0281621155639233</v>
      </c>
      <c r="J56" s="12" t="s">
        <v>147</v>
      </c>
    </row>
    <row r="57" customFormat="false" ht="15" hidden="false" customHeight="false" outlineLevel="0" collapsed="false">
      <c r="C57" s="12" t="s">
        <v>5</v>
      </c>
      <c r="D57" s="16" t="n">
        <v>2020</v>
      </c>
      <c r="E57" s="12" t="s">
        <v>248</v>
      </c>
      <c r="F57" s="12" t="s">
        <v>249</v>
      </c>
      <c r="G57" s="6" t="n">
        <f aca="false">IF(COUNTIFS('Dados DCA'!$C$9:$C$564,$C57,'Dados DCA'!$E$9:$E$564,$D57,'Dados DCA'!$F$9:$F$564,"despesa_funcao_"&amp;$E57)=0,"",SUMIFS('Dados DCA'!$L$9:$L$564,'Dados DCA'!$C$9:$C$564,$C57,'Dados DCA'!$E$9:$E$564,$D57,'Dados DCA'!$F$9:$F$564,"despesa_funcao_"&amp;$E57))</f>
        <v>43220378.1</v>
      </c>
      <c r="H57" s="6" t="n">
        <f aca="false">IF(OR(G57="",SUMIFS('Cálculos Municipais'!$T$9:$T$28,'Cálculos Municipais'!$C$9:$C$28,$C57,'Cálculos Municipais'!$D$9:$D$28,$D57)=0),"",G57*SUMIFS('Cálculos Municipais'!$T$9:$T$28,'Cálculos Municipais'!$C$9:$C$28,$C57,'Cálculos Municipais'!$D$9:$D$28,$D57))</f>
        <v>55838644.8857626</v>
      </c>
      <c r="I57" s="8" t="n">
        <f aca="false">IF(OR(G57="",SUMIFS('Dados DCA'!$L$9:$L$564,'Dados DCA'!$C$9:$C$564,$C57,'Dados DCA'!$E$9:$E$564,$D57,'Dados DCA'!$F$9:$F$564,"despesa_empenhada_exceto_intra")=0),"",G57/SUMIFS('Dados DCA'!$L$9:$L$564,'Dados DCA'!$C$9:$C$564,$C57,'Dados DCA'!$E$9:$E$564,$D57,'Dados DCA'!$F$9:$F$564,"despesa_empenhada_exceto_intra"))</f>
        <v>0.230958635039021</v>
      </c>
      <c r="J57" s="12" t="s">
        <v>147</v>
      </c>
    </row>
    <row r="58" customFormat="false" ht="15" hidden="false" customHeight="false" outlineLevel="0" collapsed="false">
      <c r="C58" s="12" t="s">
        <v>5</v>
      </c>
      <c r="D58" s="16" t="n">
        <v>2020</v>
      </c>
      <c r="E58" s="12" t="s">
        <v>250</v>
      </c>
      <c r="F58" s="12" t="s">
        <v>251</v>
      </c>
      <c r="G58" s="6" t="n">
        <f aca="false">IF(COUNTIFS('Dados DCA'!$C$9:$C$564,$C58,'Dados DCA'!$E$9:$E$564,$D58,'Dados DCA'!$F$9:$F$564,"despesa_funcao_"&amp;$E58)=0,"",SUMIFS('Dados DCA'!$L$9:$L$564,'Dados DCA'!$C$9:$C$564,$C58,'Dados DCA'!$E$9:$E$564,$D58,'Dados DCA'!$F$9:$F$564,"despesa_funcao_"&amp;$E58))</f>
        <v>6911325.59</v>
      </c>
      <c r="H58" s="6" t="n">
        <f aca="false">IF(OR(G58="",SUMIFS('Cálculos Municipais'!$T$9:$T$28,'Cálculos Municipais'!$C$9:$C$28,$C58,'Cálculos Municipais'!$D$9:$D$28,$D58)=0),"",G58*SUMIFS('Cálculos Municipais'!$T$9:$T$28,'Cálculos Municipais'!$C$9:$C$28,$C58,'Cálculos Municipais'!$D$9:$D$28,$D58))</f>
        <v>8929099.47286865</v>
      </c>
      <c r="I58" s="8" t="n">
        <f aca="false">IF(OR(G58="",SUMIFS('Dados DCA'!$L$9:$L$564,'Dados DCA'!$C$9:$C$564,$C58,'Dados DCA'!$E$9:$E$564,$D58,'Dados DCA'!$F$9:$F$564,"despesa_empenhada_exceto_intra")=0),"",G58/SUMIFS('Dados DCA'!$L$9:$L$564,'Dados DCA'!$C$9:$C$564,$C58,'Dados DCA'!$E$9:$E$564,$D58,'Dados DCA'!$F$9:$F$564,"despesa_empenhada_exceto_intra"))</f>
        <v>0.0369323544760164</v>
      </c>
      <c r="J58" s="12" t="s">
        <v>147</v>
      </c>
    </row>
    <row r="59" customFormat="false" ht="15" hidden="false" customHeight="false" outlineLevel="0" collapsed="false">
      <c r="C59" s="12" t="s">
        <v>5</v>
      </c>
      <c r="D59" s="16" t="n">
        <v>2020</v>
      </c>
      <c r="E59" s="12" t="s">
        <v>252</v>
      </c>
      <c r="F59" s="12" t="s">
        <v>253</v>
      </c>
      <c r="G59" s="6" t="n">
        <f aca="false">IF(COUNTIFS('Dados DCA'!$C$9:$C$564,$C59,'Dados DCA'!$E$9:$E$564,$D59,'Dados DCA'!$F$9:$F$564,"despesa_funcao_"&amp;$E59)=0,"",SUMIFS('Dados DCA'!$L$9:$L$564,'Dados DCA'!$C$9:$C$564,$C59,'Dados DCA'!$E$9:$E$564,$D59,'Dados DCA'!$F$9:$F$564,"despesa_funcao_"&amp;$E59))</f>
        <v>19576913.8</v>
      </c>
      <c r="H59" s="6" t="n">
        <f aca="false">IF(OR(G59="",SUMIFS('Cálculos Municipais'!$T$9:$T$28,'Cálculos Municipais'!$C$9:$C$28,$C59,'Cálculos Municipais'!$D$9:$D$28,$D59)=0),"",G59*SUMIFS('Cálculos Municipais'!$T$9:$T$28,'Cálculos Municipais'!$C$9:$C$28,$C59,'Cálculos Municipais'!$D$9:$D$28,$D59))</f>
        <v>25292428.842435</v>
      </c>
      <c r="I59" s="8" t="n">
        <f aca="false">IF(OR(G59="",SUMIFS('Dados DCA'!$L$9:$L$564,'Dados DCA'!$C$9:$C$564,$C59,'Dados DCA'!$E$9:$E$564,$D59,'Dados DCA'!$F$9:$F$564,"despesa_empenhada_exceto_intra")=0),"",G59/SUMIFS('Dados DCA'!$L$9:$L$564,'Dados DCA'!$C$9:$C$564,$C59,'Dados DCA'!$E$9:$E$564,$D59,'Dados DCA'!$F$9:$F$564,"despesa_empenhada_exceto_intra"))</f>
        <v>0.104614015154221</v>
      </c>
      <c r="J59" s="12" t="s">
        <v>147</v>
      </c>
    </row>
    <row r="60" customFormat="false" ht="15" hidden="false" customHeight="false" outlineLevel="0" collapsed="false">
      <c r="C60" s="12" t="s">
        <v>5</v>
      </c>
      <c r="D60" s="16" t="n">
        <v>2020</v>
      </c>
      <c r="E60" s="12" t="s">
        <v>254</v>
      </c>
      <c r="F60" s="12" t="s">
        <v>255</v>
      </c>
      <c r="G60" s="6" t="n">
        <f aca="false">IF(COUNTIFS('Dados DCA'!$C$9:$C$564,$C60,'Dados DCA'!$E$9:$E$564,$D60,'Dados DCA'!$F$9:$F$564,"despesa_funcao_"&amp;$E60)=0,"",SUMIFS('Dados DCA'!$L$9:$L$564,'Dados DCA'!$C$9:$C$564,$C60,'Dados DCA'!$E$9:$E$564,$D60,'Dados DCA'!$F$9:$F$564,"despesa_funcao_"&amp;$E60))</f>
        <v>43516457.67</v>
      </c>
      <c r="H60" s="6" t="n">
        <f aca="false">IF(OR(G60="",SUMIFS('Cálculos Municipais'!$T$9:$T$28,'Cálculos Municipais'!$C$9:$C$28,$C60,'Cálculos Municipais'!$D$9:$D$28,$D60)=0),"",G60*SUMIFS('Cálculos Municipais'!$T$9:$T$28,'Cálculos Municipais'!$C$9:$C$28,$C60,'Cálculos Municipais'!$D$9:$D$28,$D60))</f>
        <v>56221165.4164463</v>
      </c>
      <c r="I60" s="8" t="n">
        <f aca="false">IF(OR(G60="",SUMIFS('Dados DCA'!$L$9:$L$564,'Dados DCA'!$C$9:$C$564,$C60,'Dados DCA'!$E$9:$E$564,$D60,'Dados DCA'!$F$9:$F$564,"despesa_empenhada_exceto_intra")=0),"",G60/SUMIFS('Dados DCA'!$L$9:$L$564,'Dados DCA'!$C$9:$C$564,$C60,'Dados DCA'!$E$9:$E$564,$D60,'Dados DCA'!$F$9:$F$564,"despesa_empenhada_exceto_intra"))</f>
        <v>0.232540808457123</v>
      </c>
      <c r="J60" s="12" t="s">
        <v>147</v>
      </c>
    </row>
    <row r="61" customFormat="false" ht="15" hidden="false" customHeight="false" outlineLevel="0" collapsed="false">
      <c r="C61" s="12" t="s">
        <v>5</v>
      </c>
      <c r="D61" s="16" t="n">
        <v>2020</v>
      </c>
      <c r="E61" s="12" t="s">
        <v>258</v>
      </c>
      <c r="F61" s="12" t="s">
        <v>259</v>
      </c>
      <c r="G61" s="6" t="n">
        <f aca="false">IF(COUNTIFS('Dados DCA'!$C$9:$C$564,$C61,'Dados DCA'!$E$9:$E$564,$D61,'Dados DCA'!$F$9:$F$564,"despesa_funcao_"&amp;$E61)=0,"",SUMIFS('Dados DCA'!$L$9:$L$564,'Dados DCA'!$C$9:$C$564,$C61,'Dados DCA'!$E$9:$E$564,$D61,'Dados DCA'!$F$9:$F$564,"despesa_funcao_"&amp;$E61))</f>
        <v>48419404.17</v>
      </c>
      <c r="H61" s="6" t="n">
        <f aca="false">IF(OR(G61="",SUMIFS('Cálculos Municipais'!$T$9:$T$28,'Cálculos Municipais'!$C$9:$C$28,$C61,'Cálculos Municipais'!$D$9:$D$28,$D61)=0),"",G61*SUMIFS('Cálculos Municipais'!$T$9:$T$28,'Cálculos Municipais'!$C$9:$C$28,$C61,'Cálculos Municipais'!$D$9:$D$28,$D61))</f>
        <v>62555535.9273649</v>
      </c>
      <c r="I61" s="8" t="n">
        <f aca="false">IF(OR(G61="",SUMIFS('Dados DCA'!$L$9:$L$564,'Dados DCA'!$C$9:$C$564,$C61,'Dados DCA'!$E$9:$E$564,$D61,'Dados DCA'!$F$9:$F$564,"despesa_empenhada_exceto_intra")=0),"",G61/SUMIFS('Dados DCA'!$L$9:$L$564,'Dados DCA'!$C$9:$C$564,$C61,'Dados DCA'!$E$9:$E$564,$D61,'Dados DCA'!$F$9:$F$564,"despesa_empenhada_exceto_intra"))</f>
        <v>0.258740899272833</v>
      </c>
      <c r="J61" s="12" t="s">
        <v>147</v>
      </c>
    </row>
    <row r="62" customFormat="false" ht="15" hidden="false" customHeight="false" outlineLevel="0" collapsed="false">
      <c r="C62" s="12" t="s">
        <v>5</v>
      </c>
      <c r="D62" s="16" t="n">
        <v>2020</v>
      </c>
      <c r="E62" s="12" t="s">
        <v>260</v>
      </c>
      <c r="F62" s="12" t="s">
        <v>261</v>
      </c>
      <c r="G62" s="6" t="n">
        <f aca="false">IF(COUNTIFS('Dados DCA'!$C$9:$C$564,$C62,'Dados DCA'!$E$9:$E$564,$D62,'Dados DCA'!$F$9:$F$564,"despesa_funcao_"&amp;$E62)=0,"",SUMIFS('Dados DCA'!$L$9:$L$564,'Dados DCA'!$C$9:$C$564,$C62,'Dados DCA'!$E$9:$E$564,$D62,'Dados DCA'!$F$9:$F$564,"despesa_funcao_"&amp;$E62))</f>
        <v>541422.61</v>
      </c>
      <c r="H62" s="6" t="n">
        <f aca="false">IF(OR(G62="",SUMIFS('Cálculos Municipais'!$T$9:$T$28,'Cálculos Municipais'!$C$9:$C$28,$C62,'Cálculos Municipais'!$D$9:$D$28,$D62)=0),"",G62*SUMIFS('Cálculos Municipais'!$T$9:$T$28,'Cálculos Municipais'!$C$9:$C$28,$C62,'Cálculos Municipais'!$D$9:$D$28,$D62))</f>
        <v>699491.910574303</v>
      </c>
      <c r="I62" s="8" t="n">
        <f aca="false">IF(OR(G62="",SUMIFS('Dados DCA'!$L$9:$L$564,'Dados DCA'!$C$9:$C$564,$C62,'Dados DCA'!$E$9:$E$564,$D62,'Dados DCA'!$F$9:$F$564,"despesa_empenhada_exceto_intra")=0),"",G62/SUMIFS('Dados DCA'!$L$9:$L$564,'Dados DCA'!$C$9:$C$564,$C62,'Dados DCA'!$E$9:$E$564,$D62,'Dados DCA'!$F$9:$F$564,"despesa_empenhada_exceto_intra"))</f>
        <v>0.00289322380973951</v>
      </c>
      <c r="J62" s="12" t="s">
        <v>147</v>
      </c>
    </row>
    <row r="63" customFormat="false" ht="15" hidden="false" customHeight="false" outlineLevel="0" collapsed="false">
      <c r="C63" s="12" t="s">
        <v>5</v>
      </c>
      <c r="D63" s="16" t="n">
        <v>2020</v>
      </c>
      <c r="E63" s="12" t="s">
        <v>278</v>
      </c>
      <c r="F63" s="12" t="s">
        <v>279</v>
      </c>
      <c r="G63" s="6" t="n">
        <f aca="false">IF(COUNTIFS('Dados DCA'!$C$9:$C$564,$C63,'Dados DCA'!$E$9:$E$564,$D63,'Dados DCA'!$F$9:$F$564,"despesa_funcao_"&amp;$E63)=0,"",SUMIFS('Dados DCA'!$L$9:$L$564,'Dados DCA'!$C$9:$C$564,$C63,'Dados DCA'!$E$9:$E$564,$D63,'Dados DCA'!$F$9:$F$564,"despesa_funcao_"&amp;$E63))</f>
        <v>896</v>
      </c>
      <c r="H63" s="6" t="n">
        <f aca="false">IF(OR(G63="",SUMIFS('Cálculos Municipais'!$T$9:$T$28,'Cálculos Municipais'!$C$9:$C$28,$C63,'Cálculos Municipais'!$D$9:$D$28,$D63)=0),"",G63*SUMIFS('Cálculos Municipais'!$T$9:$T$28,'Cálculos Municipais'!$C$9:$C$28,$C63,'Cálculos Municipais'!$D$9:$D$28,$D63))</f>
        <v>1157.58880456539</v>
      </c>
      <c r="I63" s="8" t="n">
        <f aca="false">IF(OR(G63="",SUMIFS('Dados DCA'!$L$9:$L$564,'Dados DCA'!$C$9:$C$564,$C63,'Dados DCA'!$E$9:$E$564,$D63,'Dados DCA'!$F$9:$F$564,"despesa_empenhada_exceto_intra")=0),"",G63/SUMIFS('Dados DCA'!$L$9:$L$564,'Dados DCA'!$C$9:$C$564,$C63,'Dados DCA'!$E$9:$E$564,$D63,'Dados DCA'!$F$9:$F$564,"despesa_empenhada_exceto_intra"))</f>
        <v>4.78799460097649E-006</v>
      </c>
      <c r="J63" s="12" t="s">
        <v>147</v>
      </c>
    </row>
    <row r="64" customFormat="false" ht="15" hidden="false" customHeight="false" outlineLevel="0" collapsed="false">
      <c r="C64" s="12" t="s">
        <v>5</v>
      </c>
      <c r="D64" s="16" t="n">
        <v>2020</v>
      </c>
      <c r="E64" s="12" t="s">
        <v>262</v>
      </c>
      <c r="F64" s="12" t="s">
        <v>263</v>
      </c>
      <c r="G64" s="6" t="n">
        <f aca="false">IF(COUNTIFS('Dados DCA'!$C$9:$C$564,$C64,'Dados DCA'!$E$9:$E$564,$D64,'Dados DCA'!$F$9:$F$564,"despesa_funcao_"&amp;$E64)=0,"",SUMIFS('Dados DCA'!$L$9:$L$564,'Dados DCA'!$C$9:$C$564,$C64,'Dados DCA'!$E$9:$E$564,$D64,'Dados DCA'!$F$9:$F$564,"despesa_funcao_"&amp;$E64))</f>
        <v>16213313.63</v>
      </c>
      <c r="H64" s="6" t="n">
        <f aca="false">IF(OR(G64="",SUMIFS('Cálculos Municipais'!$T$9:$T$28,'Cálculos Municipais'!$C$9:$C$28,$C64,'Cálculos Municipais'!$D$9:$D$28,$D64)=0),"",G64*SUMIFS('Cálculos Municipais'!$T$9:$T$28,'Cálculos Municipais'!$C$9:$C$28,$C64,'Cálculos Municipais'!$D$9:$D$28,$D64))</f>
        <v>20946819.5792361</v>
      </c>
      <c r="I64" s="8" t="n">
        <f aca="false">IF(OR(G64="",SUMIFS('Dados DCA'!$L$9:$L$564,'Dados DCA'!$C$9:$C$564,$C64,'Dados DCA'!$E$9:$E$564,$D64,'Dados DCA'!$F$9:$F$564,"despesa_empenhada_exceto_intra")=0),"",G64/SUMIFS('Dados DCA'!$L$9:$L$564,'Dados DCA'!$C$9:$C$564,$C64,'Dados DCA'!$E$9:$E$564,$D64,'Dados DCA'!$F$9:$F$564,"despesa_empenhada_exceto_intra"))</f>
        <v>0.0866397970138153</v>
      </c>
      <c r="J64" s="12" t="s">
        <v>147</v>
      </c>
    </row>
    <row r="65" customFormat="false" ht="15" hidden="false" customHeight="false" outlineLevel="0" collapsed="false">
      <c r="C65" s="12" t="s">
        <v>5</v>
      </c>
      <c r="D65" s="16" t="n">
        <v>2020</v>
      </c>
      <c r="E65" s="12" t="s">
        <v>266</v>
      </c>
      <c r="F65" s="12" t="s">
        <v>267</v>
      </c>
      <c r="G65" s="6" t="n">
        <f aca="false">IF(COUNTIFS('Dados DCA'!$C$9:$C$564,$C65,'Dados DCA'!$E$9:$E$564,$D65,'Dados DCA'!$F$9:$F$564,"despesa_funcao_"&amp;$E65)=0,"",SUMIFS('Dados DCA'!$L$9:$L$564,'Dados DCA'!$C$9:$C$564,$C65,'Dados DCA'!$E$9:$E$564,$D65,'Dados DCA'!$F$9:$F$564,"despesa_funcao_"&amp;$E65))</f>
        <v>1691959.67</v>
      </c>
      <c r="H65" s="6" t="n">
        <f aca="false">IF(OR(G65="",SUMIFS('Cálculos Municipais'!$T$9:$T$28,'Cálculos Municipais'!$C$9:$C$28,$C65,'Cálculos Municipais'!$D$9:$D$28,$D65)=0),"",G65*SUMIFS('Cálculos Municipais'!$T$9:$T$28,'Cálculos Municipais'!$C$9:$C$28,$C65,'Cálculos Municipais'!$D$9:$D$28,$D65))</f>
        <v>2185930.3256341</v>
      </c>
      <c r="I65" s="8" t="n">
        <f aca="false">IF(OR(G65="",SUMIFS('Dados DCA'!$L$9:$L$564,'Dados DCA'!$C$9:$C$564,$C65,'Dados DCA'!$E$9:$E$564,$D65,'Dados DCA'!$F$9:$F$564,"despesa_empenhada_exceto_intra")=0),"",G65/SUMIFS('Dados DCA'!$L$9:$L$564,'Dados DCA'!$C$9:$C$564,$C65,'Dados DCA'!$E$9:$E$564,$D65,'Dados DCA'!$F$9:$F$564,"despesa_empenhada_exceto_intra"))</f>
        <v>0.00904139929132809</v>
      </c>
      <c r="J65" s="12" t="s">
        <v>147</v>
      </c>
    </row>
    <row r="66" customFormat="false" ht="15" hidden="false" customHeight="false" outlineLevel="0" collapsed="false">
      <c r="C66" s="12" t="s">
        <v>5</v>
      </c>
      <c r="D66" s="16" t="n">
        <v>2020</v>
      </c>
      <c r="E66" s="12" t="s">
        <v>268</v>
      </c>
      <c r="F66" s="12" t="s">
        <v>269</v>
      </c>
      <c r="G66" s="6" t="n">
        <f aca="false">IF(COUNTIFS('Dados DCA'!$C$9:$C$564,$C66,'Dados DCA'!$E$9:$E$564,$D66,'Dados DCA'!$F$9:$F$564,"despesa_funcao_"&amp;$E66)=0,"",SUMIFS('Dados DCA'!$L$9:$L$564,'Dados DCA'!$C$9:$C$564,$C66,'Dados DCA'!$E$9:$E$564,$D66,'Dados DCA'!$F$9:$F$564,"despesa_funcao_"&amp;$E66))</f>
        <v>69849</v>
      </c>
      <c r="H66" s="6" t="n">
        <f aca="false">IF(OR(G66="",SUMIFS('Cálculos Municipais'!$T$9:$T$28,'Cálculos Municipais'!$C$9:$C$28,$C66,'Cálculos Municipais'!$D$9:$D$28,$D66)=0),"",G66*SUMIFS('Cálculos Municipais'!$T$9:$T$28,'Cálculos Municipais'!$C$9:$C$28,$C66,'Cálculos Municipais'!$D$9:$D$28,$D66))</f>
        <v>90241.5406362591</v>
      </c>
      <c r="I66" s="8" t="n">
        <f aca="false">IF(OR(G66="",SUMIFS('Dados DCA'!$L$9:$L$564,'Dados DCA'!$C$9:$C$564,$C66,'Dados DCA'!$E$9:$E$564,$D66,'Dados DCA'!$F$9:$F$564,"despesa_empenhada_exceto_intra")=0),"",G66/SUMIFS('Dados DCA'!$L$9:$L$564,'Dados DCA'!$C$9:$C$564,$C66,'Dados DCA'!$E$9:$E$564,$D66,'Dados DCA'!$F$9:$F$564,"despesa_empenhada_exceto_intra"))</f>
        <v>0.000373255172861168</v>
      </c>
      <c r="J66" s="12" t="s">
        <v>147</v>
      </c>
    </row>
    <row r="67" customFormat="false" ht="15" hidden="false" customHeight="false" outlineLevel="0" collapsed="false">
      <c r="C67" s="12" t="s">
        <v>5</v>
      </c>
      <c r="D67" s="16" t="n">
        <v>2020</v>
      </c>
      <c r="E67" s="12" t="s">
        <v>270</v>
      </c>
      <c r="F67" s="12" t="s">
        <v>271</v>
      </c>
      <c r="G67" s="6" t="n">
        <f aca="false">IF(COUNTIFS('Dados DCA'!$C$9:$C$564,$C67,'Dados DCA'!$E$9:$E$564,$D67,'Dados DCA'!$F$9:$F$564,"despesa_funcao_"&amp;$E67)=0,"",SUMIFS('Dados DCA'!$L$9:$L$564,'Dados DCA'!$C$9:$C$564,$C67,'Dados DCA'!$E$9:$E$564,$D67,'Dados DCA'!$F$9:$F$564,"despesa_funcao_"&amp;$E67))</f>
        <v>491885.07</v>
      </c>
      <c r="H67" s="6" t="n">
        <f aca="false">IF(OR(G67="",SUMIFS('Cálculos Municipais'!$T$9:$T$28,'Cálculos Municipais'!$C$9:$C$28,$C67,'Cálculos Municipais'!$D$9:$D$28,$D67)=0),"",G67*SUMIFS('Cálculos Municipais'!$T$9:$T$28,'Cálculos Municipais'!$C$9:$C$28,$C67,'Cálculos Municipais'!$D$9:$D$28,$D67))</f>
        <v>635491.797059001</v>
      </c>
      <c r="I67" s="8" t="n">
        <f aca="false">IF(OR(G67="",SUMIFS('Dados DCA'!$L$9:$L$564,'Dados DCA'!$C$9:$C$564,$C67,'Dados DCA'!$E$9:$E$564,$D67,'Dados DCA'!$F$9:$F$564,"despesa_empenhada_exceto_intra")=0),"",G67/SUMIFS('Dados DCA'!$L$9:$L$564,'Dados DCA'!$C$9:$C$564,$C67,'Dados DCA'!$E$9:$E$564,$D67,'Dados DCA'!$F$9:$F$564,"despesa_empenhada_exceto_intra"))</f>
        <v>0.00262850787886266</v>
      </c>
      <c r="J67" s="12" t="s">
        <v>147</v>
      </c>
    </row>
    <row r="68" customFormat="false" ht="15" hidden="false" customHeight="false" outlineLevel="0" collapsed="false">
      <c r="C68" s="12" t="s">
        <v>5</v>
      </c>
      <c r="D68" s="16" t="n">
        <v>2020</v>
      </c>
      <c r="E68" s="12" t="s">
        <v>274</v>
      </c>
      <c r="F68" s="12" t="s">
        <v>275</v>
      </c>
      <c r="G68" s="6" t="n">
        <f aca="false">IF(COUNTIFS('Dados DCA'!$C$9:$C$564,$C68,'Dados DCA'!$E$9:$E$564,$D68,'Dados DCA'!$F$9:$F$564,"despesa_funcao_"&amp;$E68)=0,"",SUMIFS('Dados DCA'!$L$9:$L$564,'Dados DCA'!$C$9:$C$564,$C68,'Dados DCA'!$E$9:$E$564,$D68,'Dados DCA'!$F$9:$F$564,"despesa_funcao_"&amp;$E68))</f>
        <v>1210799.19</v>
      </c>
      <c r="H68" s="6" t="n">
        <f aca="false">IF(OR(G68="",SUMIFS('Cálculos Municipais'!$T$9:$T$28,'Cálculos Municipais'!$C$9:$C$28,$C68,'Cálculos Municipais'!$D$9:$D$28,$D68)=0),"",G68*SUMIFS('Cálculos Municipais'!$T$9:$T$28,'Cálculos Municipais'!$C$9:$C$28,$C68,'Cálculos Municipais'!$D$9:$D$28,$D68))</f>
        <v>1564294.1818313</v>
      </c>
      <c r="I68" s="8" t="n">
        <f aca="false">IF(OR(G68="",SUMIFS('Dados DCA'!$L$9:$L$564,'Dados DCA'!$C$9:$C$564,$C68,'Dados DCA'!$E$9:$E$564,$D68,'Dados DCA'!$F$9:$F$564,"despesa_empenhada_exceto_intra")=0),"",G68/SUMIFS('Dados DCA'!$L$9:$L$564,'Dados DCA'!$C$9:$C$564,$C68,'Dados DCA'!$E$9:$E$564,$D68,'Dados DCA'!$F$9:$F$564,"despesa_empenhada_exceto_intra"))</f>
        <v>0.00647020087565481</v>
      </c>
      <c r="J68" s="12" t="s">
        <v>147</v>
      </c>
    </row>
    <row r="69" customFormat="false" ht="15" hidden="false" customHeight="false" outlineLevel="0" collapsed="false">
      <c r="C69" s="12" t="s">
        <v>5</v>
      </c>
      <c r="D69" s="16" t="n">
        <v>2021</v>
      </c>
      <c r="E69" s="12" t="s">
        <v>246</v>
      </c>
      <c r="F69" s="12" t="s">
        <v>247</v>
      </c>
      <c r="G69" s="6" t="n">
        <f aca="false">IF(COUNTIFS('Dados DCA'!$C$9:$C$564,$C69,'Dados DCA'!$E$9:$E$564,$D69,'Dados DCA'!$F$9:$F$564,"despesa_funcao_"&amp;$E69)=0,"",SUMIFS('Dados DCA'!$L$9:$L$564,'Dados DCA'!$C$9:$C$564,$C69,'Dados DCA'!$E$9:$E$564,$D69,'Dados DCA'!$F$9:$F$564,"despesa_funcao_"&amp;$E69))</f>
        <v>5726233.38</v>
      </c>
      <c r="H69" s="6" t="n">
        <f aca="false">IF(OR(G69="",SUMIFS('Cálculos Municipais'!$T$9:$T$28,'Cálculos Municipais'!$C$9:$C$28,$C69,'Cálculos Municipais'!$D$9:$D$28,$D69)=0),"",G69*SUMIFS('Cálculos Municipais'!$T$9:$T$28,'Cálculos Municipais'!$C$9:$C$28,$C69,'Cálculos Municipais'!$D$9:$D$28,$D69))</f>
        <v>6830936.37397795</v>
      </c>
      <c r="I69" s="8" t="n">
        <f aca="false">IF(OR(G69="",SUMIFS('Dados DCA'!$L$9:$L$564,'Dados DCA'!$C$9:$C$564,$C69,'Dados DCA'!$E$9:$E$564,$D69,'Dados DCA'!$F$9:$F$564,"despesa_empenhada_exceto_intra")=0),"",G69/SUMIFS('Dados DCA'!$L$9:$L$564,'Dados DCA'!$C$9:$C$564,$C69,'Dados DCA'!$E$9:$E$564,$D69,'Dados DCA'!$F$9:$F$564,"despesa_empenhada_exceto_intra"))</f>
        <v>0.0299668121823756</v>
      </c>
      <c r="J69" s="12" t="s">
        <v>148</v>
      </c>
    </row>
    <row r="70" customFormat="false" ht="15" hidden="false" customHeight="false" outlineLevel="0" collapsed="false">
      <c r="C70" s="12" t="s">
        <v>5</v>
      </c>
      <c r="D70" s="16" t="n">
        <v>2021</v>
      </c>
      <c r="E70" s="12" t="s">
        <v>248</v>
      </c>
      <c r="F70" s="12" t="s">
        <v>249</v>
      </c>
      <c r="G70" s="6" t="n">
        <f aca="false">IF(COUNTIFS('Dados DCA'!$C$9:$C$564,$C70,'Dados DCA'!$E$9:$E$564,$D70,'Dados DCA'!$F$9:$F$564,"despesa_funcao_"&amp;$E70)=0,"",SUMIFS('Dados DCA'!$L$9:$L$564,'Dados DCA'!$C$9:$C$564,$C70,'Dados DCA'!$E$9:$E$564,$D70,'Dados DCA'!$F$9:$F$564,"despesa_funcao_"&amp;$E70))</f>
        <v>41759299.95</v>
      </c>
      <c r="H70" s="6" t="n">
        <f aca="false">IF(OR(G70="",SUMIFS('Cálculos Municipais'!$T$9:$T$28,'Cálculos Municipais'!$C$9:$C$28,$C70,'Cálculos Municipais'!$D$9:$D$28,$D70)=0),"",G70*SUMIFS('Cálculos Municipais'!$T$9:$T$28,'Cálculos Municipais'!$C$9:$C$28,$C70,'Cálculos Municipais'!$D$9:$D$28,$D70))</f>
        <v>49815489.8779746</v>
      </c>
      <c r="I70" s="8" t="n">
        <f aca="false">IF(OR(G70="",SUMIFS('Dados DCA'!$L$9:$L$564,'Dados DCA'!$C$9:$C$564,$C70,'Dados DCA'!$E$9:$E$564,$D70,'Dados DCA'!$F$9:$F$564,"despesa_empenhada_exceto_intra")=0),"",G70/SUMIFS('Dados DCA'!$L$9:$L$564,'Dados DCA'!$C$9:$C$564,$C70,'Dados DCA'!$E$9:$E$564,$D70,'Dados DCA'!$F$9:$F$564,"despesa_empenhada_exceto_intra"))</f>
        <v>0.218536866282795</v>
      </c>
      <c r="J70" s="12" t="s">
        <v>148</v>
      </c>
    </row>
    <row r="71" customFormat="false" ht="15" hidden="false" customHeight="false" outlineLevel="0" collapsed="false">
      <c r="C71" s="12" t="s">
        <v>5</v>
      </c>
      <c r="D71" s="16" t="n">
        <v>2021</v>
      </c>
      <c r="E71" s="12" t="s">
        <v>250</v>
      </c>
      <c r="F71" s="12" t="s">
        <v>251</v>
      </c>
      <c r="G71" s="6" t="n">
        <f aca="false">IF(COUNTIFS('Dados DCA'!$C$9:$C$564,$C71,'Dados DCA'!$E$9:$E$564,$D71,'Dados DCA'!$F$9:$F$564,"despesa_funcao_"&amp;$E71)=0,"",SUMIFS('Dados DCA'!$L$9:$L$564,'Dados DCA'!$C$9:$C$564,$C71,'Dados DCA'!$E$9:$E$564,$D71,'Dados DCA'!$F$9:$F$564,"despesa_funcao_"&amp;$E71))</f>
        <v>6747176.9</v>
      </c>
      <c r="H71" s="6" t="n">
        <f aca="false">IF(OR(G71="",SUMIFS('Cálculos Municipais'!$T$9:$T$28,'Cálculos Municipais'!$C$9:$C$28,$C71,'Cálculos Municipais'!$D$9:$D$28,$D71)=0),"",G71*SUMIFS('Cálculos Municipais'!$T$9:$T$28,'Cálculos Municipais'!$C$9:$C$28,$C71,'Cálculos Municipais'!$D$9:$D$28,$D71))</f>
        <v>8048839.97024127</v>
      </c>
      <c r="I71" s="8" t="n">
        <f aca="false">IF(OR(G71="",SUMIFS('Dados DCA'!$L$9:$L$564,'Dados DCA'!$C$9:$C$564,$C71,'Dados DCA'!$E$9:$E$564,$D71,'Dados DCA'!$F$9:$F$564,"despesa_empenhada_exceto_intra")=0),"",G71/SUMIFS('Dados DCA'!$L$9:$L$564,'Dados DCA'!$C$9:$C$564,$C71,'Dados DCA'!$E$9:$E$564,$D71,'Dados DCA'!$F$9:$F$564,"despesa_empenhada_exceto_intra"))</f>
        <v>0.0353096650984846</v>
      </c>
      <c r="J71" s="12" t="s">
        <v>148</v>
      </c>
    </row>
    <row r="72" customFormat="false" ht="15" hidden="false" customHeight="false" outlineLevel="0" collapsed="false">
      <c r="C72" s="12" t="s">
        <v>5</v>
      </c>
      <c r="D72" s="16" t="n">
        <v>2021</v>
      </c>
      <c r="E72" s="12" t="s">
        <v>252</v>
      </c>
      <c r="F72" s="12" t="s">
        <v>253</v>
      </c>
      <c r="G72" s="6" t="n">
        <f aca="false">IF(COUNTIFS('Dados DCA'!$C$9:$C$564,$C72,'Dados DCA'!$E$9:$E$564,$D72,'Dados DCA'!$F$9:$F$564,"despesa_funcao_"&amp;$E72)=0,"",SUMIFS('Dados DCA'!$L$9:$L$564,'Dados DCA'!$C$9:$C$564,$C72,'Dados DCA'!$E$9:$E$564,$D72,'Dados DCA'!$F$9:$F$564,"despesa_funcao_"&amp;$E72))</f>
        <v>21184860.98</v>
      </c>
      <c r="H72" s="6" t="n">
        <f aca="false">IF(OR(G72="",SUMIFS('Cálculos Municipais'!$T$9:$T$28,'Cálculos Municipais'!$C$9:$C$28,$C72,'Cálculos Municipais'!$D$9:$D$28,$D72)=0),"",G72*SUMIFS('Cálculos Municipais'!$T$9:$T$28,'Cálculos Municipais'!$C$9:$C$28,$C72,'Cálculos Municipais'!$D$9:$D$28,$D72))</f>
        <v>25271837.1471524</v>
      </c>
      <c r="I72" s="8" t="n">
        <f aca="false">IF(OR(G72="",SUMIFS('Dados DCA'!$L$9:$L$564,'Dados DCA'!$C$9:$C$564,$C72,'Dados DCA'!$E$9:$E$564,$D72,'Dados DCA'!$F$9:$F$564,"despesa_empenhada_exceto_intra")=0),"",G72/SUMIFS('Dados DCA'!$L$9:$L$564,'Dados DCA'!$C$9:$C$564,$C72,'Dados DCA'!$E$9:$E$564,$D72,'Dados DCA'!$F$9:$F$564,"despesa_empenhada_exceto_intra"))</f>
        <v>0.110865678705082</v>
      </c>
      <c r="J72" s="12" t="s">
        <v>148</v>
      </c>
    </row>
    <row r="73" customFormat="false" ht="15" hidden="false" customHeight="false" outlineLevel="0" collapsed="false">
      <c r="C73" s="12" t="s">
        <v>5</v>
      </c>
      <c r="D73" s="16" t="n">
        <v>2021</v>
      </c>
      <c r="E73" s="12" t="s">
        <v>254</v>
      </c>
      <c r="F73" s="12" t="s">
        <v>255</v>
      </c>
      <c r="G73" s="6" t="n">
        <f aca="false">IF(COUNTIFS('Dados DCA'!$C$9:$C$564,$C73,'Dados DCA'!$E$9:$E$564,$D73,'Dados DCA'!$F$9:$F$564,"despesa_funcao_"&amp;$E73)=0,"",SUMIFS('Dados DCA'!$L$9:$L$564,'Dados DCA'!$C$9:$C$564,$C73,'Dados DCA'!$E$9:$E$564,$D73,'Dados DCA'!$F$9:$F$564,"despesa_funcao_"&amp;$E73))</f>
        <v>43895656.8</v>
      </c>
      <c r="H73" s="6" t="n">
        <f aca="false">IF(OR(G73="",SUMIFS('Cálculos Municipais'!$T$9:$T$28,'Cálculos Municipais'!$C$9:$C$28,$C73,'Cálculos Municipais'!$D$9:$D$28,$D73)=0),"",G73*SUMIFS('Cálculos Municipais'!$T$9:$T$28,'Cálculos Municipais'!$C$9:$C$28,$C73,'Cálculos Municipais'!$D$9:$D$28,$D73))</f>
        <v>52363991.964081</v>
      </c>
      <c r="I73" s="8" t="n">
        <f aca="false">IF(OR(G73="",SUMIFS('Dados DCA'!$L$9:$L$564,'Dados DCA'!$C$9:$C$564,$C73,'Dados DCA'!$E$9:$E$564,$D73,'Dados DCA'!$F$9:$F$564,"despesa_empenhada_exceto_intra")=0),"",G73/SUMIFS('Dados DCA'!$L$9:$L$564,'Dados DCA'!$C$9:$C$564,$C73,'Dados DCA'!$E$9:$E$564,$D73,'Dados DCA'!$F$9:$F$564,"despesa_empenhada_exceto_intra"))</f>
        <v>0.229716956270409</v>
      </c>
      <c r="J73" s="12" t="s">
        <v>148</v>
      </c>
    </row>
    <row r="74" customFormat="false" ht="15" hidden="false" customHeight="false" outlineLevel="0" collapsed="false">
      <c r="C74" s="12" t="s">
        <v>5</v>
      </c>
      <c r="D74" s="16" t="n">
        <v>2021</v>
      </c>
      <c r="E74" s="12" t="s">
        <v>256</v>
      </c>
      <c r="F74" s="12" t="s">
        <v>257</v>
      </c>
      <c r="G74" s="6" t="n">
        <f aca="false">IF(COUNTIFS('Dados DCA'!$C$9:$C$564,$C74,'Dados DCA'!$E$9:$E$564,$D74,'Dados DCA'!$F$9:$F$564,"despesa_funcao_"&amp;$E74)=0,"",SUMIFS('Dados DCA'!$L$9:$L$564,'Dados DCA'!$C$9:$C$564,$C74,'Dados DCA'!$E$9:$E$564,$D74,'Dados DCA'!$F$9:$F$564,"despesa_funcao_"&amp;$E74))</f>
        <v>4103.55</v>
      </c>
      <c r="H74" s="6" t="n">
        <f aca="false">IF(OR(G74="",SUMIFS('Cálculos Municipais'!$T$9:$T$28,'Cálculos Municipais'!$C$9:$C$28,$C74,'Cálculos Municipais'!$D$9:$D$28,$D74)=0),"",G74*SUMIFS('Cálculos Municipais'!$T$9:$T$28,'Cálculos Municipais'!$C$9:$C$28,$C74,'Cálculos Municipais'!$D$9:$D$28,$D74))</f>
        <v>4895.2054688063</v>
      </c>
      <c r="I74" s="8" t="n">
        <f aca="false">IF(OR(G74="",SUMIFS('Dados DCA'!$L$9:$L$564,'Dados DCA'!$C$9:$C$564,$C74,'Dados DCA'!$E$9:$E$564,$D74,'Dados DCA'!$F$9:$F$564,"despesa_empenhada_exceto_intra")=0),"",G74/SUMIFS('Dados DCA'!$L$9:$L$564,'Dados DCA'!$C$9:$C$564,$C74,'Dados DCA'!$E$9:$E$564,$D74,'Dados DCA'!$F$9:$F$564,"despesa_empenhada_exceto_intra"))</f>
        <v>2.1474904002426E-005</v>
      </c>
      <c r="J74" s="12" t="s">
        <v>148</v>
      </c>
    </row>
    <row r="75" customFormat="false" ht="15" hidden="false" customHeight="false" outlineLevel="0" collapsed="false">
      <c r="C75" s="12" t="s">
        <v>5</v>
      </c>
      <c r="D75" s="16" t="n">
        <v>2021</v>
      </c>
      <c r="E75" s="12" t="s">
        <v>258</v>
      </c>
      <c r="F75" s="12" t="s">
        <v>259</v>
      </c>
      <c r="G75" s="6" t="n">
        <f aca="false">IF(COUNTIFS('Dados DCA'!$C$9:$C$564,$C75,'Dados DCA'!$E$9:$E$564,$D75,'Dados DCA'!$F$9:$F$564,"despesa_funcao_"&amp;$E75)=0,"",SUMIFS('Dados DCA'!$L$9:$L$564,'Dados DCA'!$C$9:$C$564,$C75,'Dados DCA'!$E$9:$E$564,$D75,'Dados DCA'!$F$9:$F$564,"despesa_funcao_"&amp;$E75))</f>
        <v>53423098.8</v>
      </c>
      <c r="H75" s="6" t="n">
        <f aca="false">IF(OR(G75="",SUMIFS('Cálculos Municipais'!$T$9:$T$28,'Cálculos Municipais'!$C$9:$C$28,$C75,'Cálculos Municipais'!$D$9:$D$28,$D75)=0),"",G75*SUMIFS('Cálculos Municipais'!$T$9:$T$28,'Cálculos Municipais'!$C$9:$C$28,$C75,'Cálculos Municipais'!$D$9:$D$28,$D75))</f>
        <v>63729464.8307781</v>
      </c>
      <c r="I75" s="8" t="n">
        <f aca="false">IF(OR(G75="",SUMIFS('Dados DCA'!$L$9:$L$564,'Dados DCA'!$C$9:$C$564,$C75,'Dados DCA'!$E$9:$E$564,$D75,'Dados DCA'!$F$9:$F$564,"despesa_empenhada_exceto_intra")=0),"",G75/SUMIFS('Dados DCA'!$L$9:$L$564,'Dados DCA'!$C$9:$C$564,$C75,'Dados DCA'!$E$9:$E$564,$D75,'Dados DCA'!$F$9:$F$564,"despesa_empenhada_exceto_intra"))</f>
        <v>0.279576444357232</v>
      </c>
      <c r="J75" s="12" t="s">
        <v>148</v>
      </c>
    </row>
    <row r="76" customFormat="false" ht="15" hidden="false" customHeight="false" outlineLevel="0" collapsed="false">
      <c r="C76" s="12" t="s">
        <v>5</v>
      </c>
      <c r="D76" s="16" t="n">
        <v>2021</v>
      </c>
      <c r="E76" s="12" t="s">
        <v>278</v>
      </c>
      <c r="F76" s="12" t="s">
        <v>279</v>
      </c>
      <c r="G76" s="6" t="n">
        <f aca="false">IF(COUNTIFS('Dados DCA'!$C$9:$C$564,$C76,'Dados DCA'!$E$9:$E$564,$D76,'Dados DCA'!$F$9:$F$564,"despesa_funcao_"&amp;$E76)=0,"",SUMIFS('Dados DCA'!$L$9:$L$564,'Dados DCA'!$C$9:$C$564,$C76,'Dados DCA'!$E$9:$E$564,$D76,'Dados DCA'!$F$9:$F$564,"despesa_funcao_"&amp;$E76))</f>
        <v>23892.44</v>
      </c>
      <c r="H76" s="6" t="n">
        <f aca="false">IF(OR(G76="",SUMIFS('Cálculos Municipais'!$T$9:$T$28,'Cálculos Municipais'!$C$9:$C$28,$C76,'Cálculos Municipais'!$D$9:$D$28,$D76)=0),"",G76*SUMIFS('Cálculos Municipais'!$T$9:$T$28,'Cálculos Municipais'!$C$9:$C$28,$C76,'Cálculos Municipais'!$D$9:$D$28,$D76))</f>
        <v>28501.7613898031</v>
      </c>
      <c r="I76" s="8" t="n">
        <f aca="false">IF(OR(G76="",SUMIFS('Dados DCA'!$L$9:$L$564,'Dados DCA'!$C$9:$C$564,$C76,'Dados DCA'!$E$9:$E$564,$D76,'Dados DCA'!$F$9:$F$564,"despesa_empenhada_exceto_intra")=0),"",G76/SUMIFS('Dados DCA'!$L$9:$L$564,'Dados DCA'!$C$9:$C$564,$C76,'Dados DCA'!$E$9:$E$564,$D76,'Dados DCA'!$F$9:$F$564,"despesa_empenhada_exceto_intra"))</f>
        <v>0.000125035117248169</v>
      </c>
      <c r="J76" s="12" t="s">
        <v>148</v>
      </c>
    </row>
    <row r="77" customFormat="false" ht="15" hidden="false" customHeight="false" outlineLevel="0" collapsed="false">
      <c r="C77" s="12" t="s">
        <v>5</v>
      </c>
      <c r="D77" s="16" t="n">
        <v>2021</v>
      </c>
      <c r="E77" s="12" t="s">
        <v>262</v>
      </c>
      <c r="F77" s="12" t="s">
        <v>263</v>
      </c>
      <c r="G77" s="6" t="n">
        <f aca="false">IF(COUNTIFS('Dados DCA'!$C$9:$C$564,$C77,'Dados DCA'!$E$9:$E$564,$D77,'Dados DCA'!$F$9:$F$564,"despesa_funcao_"&amp;$E77)=0,"",SUMIFS('Dados DCA'!$L$9:$L$564,'Dados DCA'!$C$9:$C$564,$C77,'Dados DCA'!$E$9:$E$564,$D77,'Dados DCA'!$F$9:$F$564,"despesa_funcao_"&amp;$E77))</f>
        <v>13959815.73</v>
      </c>
      <c r="H77" s="6" t="n">
        <f aca="false">IF(OR(G77="",SUMIFS('Cálculos Municipais'!$T$9:$T$28,'Cálculos Municipais'!$C$9:$C$28,$C77,'Cálculos Municipais'!$D$9:$D$28,$D77)=0),"",G77*SUMIFS('Cálculos Municipais'!$T$9:$T$28,'Cálculos Municipais'!$C$9:$C$28,$C77,'Cálculos Municipais'!$D$9:$D$28,$D77))</f>
        <v>16652938.6275357</v>
      </c>
      <c r="I77" s="8" t="n">
        <f aca="false">IF(OR(G77="",SUMIFS('Dados DCA'!$L$9:$L$564,'Dados DCA'!$C$9:$C$564,$C77,'Dados DCA'!$E$9:$E$564,$D77,'Dados DCA'!$F$9:$F$564,"despesa_empenhada_exceto_intra")=0),"",G77/SUMIFS('Dados DCA'!$L$9:$L$564,'Dados DCA'!$C$9:$C$564,$C77,'Dados DCA'!$E$9:$E$564,$D77,'Dados DCA'!$F$9:$F$564,"despesa_empenhada_exceto_intra"))</f>
        <v>0.0730552089515923</v>
      </c>
      <c r="J77" s="12" t="s">
        <v>148</v>
      </c>
    </row>
    <row r="78" customFormat="false" ht="15" hidden="false" customHeight="false" outlineLevel="0" collapsed="false">
      <c r="C78" s="12" t="s">
        <v>5</v>
      </c>
      <c r="D78" s="16" t="n">
        <v>2021</v>
      </c>
      <c r="E78" s="12" t="s">
        <v>266</v>
      </c>
      <c r="F78" s="12" t="s">
        <v>267</v>
      </c>
      <c r="G78" s="6" t="n">
        <f aca="false">IF(COUNTIFS('Dados DCA'!$C$9:$C$564,$C78,'Dados DCA'!$E$9:$E$564,$D78,'Dados DCA'!$F$9:$F$564,"despesa_funcao_"&amp;$E78)=0,"",SUMIFS('Dados DCA'!$L$9:$L$564,'Dados DCA'!$C$9:$C$564,$C78,'Dados DCA'!$E$9:$E$564,$D78,'Dados DCA'!$F$9:$F$564,"despesa_funcao_"&amp;$E78))</f>
        <v>1614980.29</v>
      </c>
      <c r="H78" s="6" t="n">
        <f aca="false">IF(OR(G78="",SUMIFS('Cálculos Municipais'!$T$9:$T$28,'Cálculos Municipais'!$C$9:$C$28,$C78,'Cálculos Municipais'!$D$9:$D$28,$D78)=0),"",G78*SUMIFS('Cálculos Municipais'!$T$9:$T$28,'Cálculos Municipais'!$C$9:$C$28,$C78,'Cálculos Municipais'!$D$9:$D$28,$D78))</f>
        <v>1926541.73767162</v>
      </c>
      <c r="I78" s="8" t="n">
        <f aca="false">IF(OR(G78="",SUMIFS('Dados DCA'!$L$9:$L$564,'Dados DCA'!$C$9:$C$564,$C78,'Dados DCA'!$E$9:$E$564,$D78,'Dados DCA'!$F$9:$F$564,"despesa_empenhada_exceto_intra")=0),"",G78/SUMIFS('Dados DCA'!$L$9:$L$564,'Dados DCA'!$C$9:$C$564,$C78,'Dados DCA'!$E$9:$E$564,$D78,'Dados DCA'!$F$9:$F$564,"despesa_empenhada_exceto_intra"))</f>
        <v>0.00845159598239576</v>
      </c>
      <c r="J78" s="12" t="s">
        <v>148</v>
      </c>
    </row>
    <row r="79" customFormat="false" ht="15" hidden="false" customHeight="false" outlineLevel="0" collapsed="false">
      <c r="C79" s="12" t="s">
        <v>5</v>
      </c>
      <c r="D79" s="16" t="n">
        <v>2021</v>
      </c>
      <c r="E79" s="12" t="s">
        <v>268</v>
      </c>
      <c r="F79" s="12" t="s">
        <v>269</v>
      </c>
      <c r="G79" s="6" t="n">
        <f aca="false">IF(COUNTIFS('Dados DCA'!$C$9:$C$564,$C79,'Dados DCA'!$E$9:$E$564,$D79,'Dados DCA'!$F$9:$F$564,"despesa_funcao_"&amp;$E79)=0,"",SUMIFS('Dados DCA'!$L$9:$L$564,'Dados DCA'!$C$9:$C$564,$C79,'Dados DCA'!$E$9:$E$564,$D79,'Dados DCA'!$F$9:$F$564,"despesa_funcao_"&amp;$E79))</f>
        <v>84295.31</v>
      </c>
      <c r="H79" s="6" t="n">
        <f aca="false">IF(OR(G79="",SUMIFS('Cálculos Municipais'!$T$9:$T$28,'Cálculos Municipais'!$C$9:$C$28,$C79,'Cálculos Municipais'!$D$9:$D$28,$D79)=0),"",G79*SUMIFS('Cálculos Municipais'!$T$9:$T$28,'Cálculos Municipais'!$C$9:$C$28,$C79,'Cálculos Municipais'!$D$9:$D$28,$D79))</f>
        <v>100557.532503984</v>
      </c>
      <c r="I79" s="8" t="n">
        <f aca="false">IF(OR(G79="",SUMIFS('Dados DCA'!$L$9:$L$564,'Dados DCA'!$C$9:$C$564,$C79,'Dados DCA'!$E$9:$E$564,$D79,'Dados DCA'!$F$9:$F$564,"despesa_empenhada_exceto_intra")=0),"",G79/SUMIFS('Dados DCA'!$L$9:$L$564,'Dados DCA'!$C$9:$C$564,$C79,'Dados DCA'!$E$9:$E$564,$D79,'Dados DCA'!$F$9:$F$564,"despesa_empenhada_exceto_intra"))</f>
        <v>0.000441138450879054</v>
      </c>
      <c r="J79" s="12" t="s">
        <v>148</v>
      </c>
    </row>
    <row r="80" customFormat="false" ht="15" hidden="false" customHeight="false" outlineLevel="0" collapsed="false">
      <c r="C80" s="12" t="s">
        <v>5</v>
      </c>
      <c r="D80" s="16" t="n">
        <v>2021</v>
      </c>
      <c r="E80" s="12" t="s">
        <v>270</v>
      </c>
      <c r="F80" s="12" t="s">
        <v>271</v>
      </c>
      <c r="G80" s="6" t="n">
        <f aca="false">IF(COUNTIFS('Dados DCA'!$C$9:$C$564,$C80,'Dados DCA'!$E$9:$E$564,$D80,'Dados DCA'!$F$9:$F$564,"despesa_funcao_"&amp;$E80)=0,"",SUMIFS('Dados DCA'!$L$9:$L$564,'Dados DCA'!$C$9:$C$564,$C80,'Dados DCA'!$E$9:$E$564,$D80,'Dados DCA'!$F$9:$F$564,"despesa_funcao_"&amp;$E80))</f>
        <v>9600</v>
      </c>
      <c r="H80" s="6" t="n">
        <f aca="false">IF(OR(G80="",SUMIFS('Cálculos Municipais'!$T$9:$T$28,'Cálculos Municipais'!$C$9:$C$28,$C80,'Cálculos Municipais'!$D$9:$D$28,$D80)=0),"",G80*SUMIFS('Cálculos Municipais'!$T$9:$T$28,'Cálculos Municipais'!$C$9:$C$28,$C80,'Cálculos Municipais'!$D$9:$D$28,$D80))</f>
        <v>11452.0287313523</v>
      </c>
      <c r="I80" s="8" t="n">
        <f aca="false">IF(OR(G80="",SUMIFS('Dados DCA'!$L$9:$L$564,'Dados DCA'!$C$9:$C$564,$C80,'Dados DCA'!$E$9:$E$564,$D80,'Dados DCA'!$F$9:$F$564,"despesa_empenhada_exceto_intra")=0),"",G80/SUMIFS('Dados DCA'!$L$9:$L$564,'Dados DCA'!$C$9:$C$564,$C80,'Dados DCA'!$E$9:$E$564,$D80,'Dados DCA'!$F$9:$F$564,"despesa_empenhada_exceto_intra"))</f>
        <v>5.02392022573844E-005</v>
      </c>
      <c r="J80" s="12" t="s">
        <v>148</v>
      </c>
    </row>
    <row r="81" customFormat="false" ht="15" hidden="false" customHeight="false" outlineLevel="0" collapsed="false">
      <c r="C81" s="12" t="s">
        <v>5</v>
      </c>
      <c r="D81" s="16" t="n">
        <v>2021</v>
      </c>
      <c r="E81" s="12" t="s">
        <v>274</v>
      </c>
      <c r="F81" s="12" t="s">
        <v>275</v>
      </c>
      <c r="G81" s="6" t="n">
        <f aca="false">IF(COUNTIFS('Dados DCA'!$C$9:$C$564,$C81,'Dados DCA'!$E$9:$E$564,$D81,'Dados DCA'!$F$9:$F$564,"despesa_funcao_"&amp;$E81)=0,"",SUMIFS('Dados DCA'!$L$9:$L$564,'Dados DCA'!$C$9:$C$564,$C81,'Dados DCA'!$E$9:$E$564,$D81,'Dados DCA'!$F$9:$F$564,"despesa_funcao_"&amp;$E81))</f>
        <v>2652822.6</v>
      </c>
      <c r="H81" s="6" t="n">
        <f aca="false">IF(OR(G81="",SUMIFS('Cálculos Municipais'!$T$9:$T$28,'Cálculos Municipais'!$C$9:$C$28,$C81,'Cálculos Municipais'!$D$9:$D$28,$D81)=0),"",G81*SUMIFS('Cálculos Municipais'!$T$9:$T$28,'Cálculos Municipais'!$C$9:$C$28,$C81,'Cálculos Municipais'!$D$9:$D$28,$D81))</f>
        <v>3164604.23274798</v>
      </c>
      <c r="I81" s="8" t="n">
        <f aca="false">IF(OR(G81="",SUMIFS('Dados DCA'!$L$9:$L$564,'Dados DCA'!$C$9:$C$564,$C81,'Dados DCA'!$E$9:$E$564,$D81,'Dados DCA'!$F$9:$F$564,"despesa_empenhada_exceto_intra")=0),"",G81/SUMIFS('Dados DCA'!$L$9:$L$564,'Dados DCA'!$C$9:$C$564,$C81,'Dados DCA'!$E$9:$E$564,$D81,'Dados DCA'!$F$9:$F$564,"despesa_empenhada_exceto_intra"))</f>
        <v>0.0138828844952459</v>
      </c>
      <c r="J81" s="12" t="s">
        <v>148</v>
      </c>
    </row>
    <row r="82" customFormat="false" ht="15" hidden="false" customHeight="false" outlineLevel="0" collapsed="false">
      <c r="C82" s="12" t="s">
        <v>5</v>
      </c>
      <c r="D82" s="16" t="n">
        <v>2022</v>
      </c>
      <c r="E82" s="12" t="s">
        <v>246</v>
      </c>
      <c r="F82" s="12" t="s">
        <v>247</v>
      </c>
      <c r="G82" s="6" t="n">
        <f aca="false">IF(COUNTIFS('Dados DCA'!$C$9:$C$564,$C82,'Dados DCA'!$E$9:$E$564,$D82,'Dados DCA'!$F$9:$F$564,"despesa_funcao_"&amp;$E82)=0,"",SUMIFS('Dados DCA'!$L$9:$L$564,'Dados DCA'!$C$9:$C$564,$C82,'Dados DCA'!$E$9:$E$564,$D82,'Dados DCA'!$F$9:$F$564,"despesa_funcao_"&amp;$E82))</f>
        <v>7268466.66</v>
      </c>
      <c r="H82" s="6" t="n">
        <f aca="false">IF(OR(G82="",SUMIFS('Cálculos Municipais'!$T$9:$T$28,'Cálculos Municipais'!$C$9:$C$28,$C82,'Cálculos Municipais'!$D$9:$D$28,$D82)=0),"",G82*SUMIFS('Cálculos Municipais'!$T$9:$T$28,'Cálculos Municipais'!$C$9:$C$28,$C82,'Cálculos Municipais'!$D$9:$D$28,$D82))</f>
        <v>7934378.07073765</v>
      </c>
      <c r="I82" s="8" t="n">
        <f aca="false">IF(OR(G82="",SUMIFS('Dados DCA'!$L$9:$L$564,'Dados DCA'!$C$9:$C$564,$C82,'Dados DCA'!$E$9:$E$564,$D82,'Dados DCA'!$F$9:$F$564,"despesa_empenhada_exceto_intra")=0),"",G82/SUMIFS('Dados DCA'!$L$9:$L$564,'Dados DCA'!$C$9:$C$564,$C82,'Dados DCA'!$E$9:$E$564,$D82,'Dados DCA'!$F$9:$F$564,"despesa_empenhada_exceto_intra"))</f>
        <v>0.031959640849229</v>
      </c>
      <c r="J82" s="12" t="s">
        <v>149</v>
      </c>
    </row>
    <row r="83" customFormat="false" ht="15" hidden="false" customHeight="false" outlineLevel="0" collapsed="false">
      <c r="C83" s="12" t="s">
        <v>5</v>
      </c>
      <c r="D83" s="16" t="n">
        <v>2022</v>
      </c>
      <c r="E83" s="12" t="s">
        <v>248</v>
      </c>
      <c r="F83" s="12" t="s">
        <v>249</v>
      </c>
      <c r="G83" s="6" t="n">
        <f aca="false">IF(COUNTIFS('Dados DCA'!$C$9:$C$564,$C83,'Dados DCA'!$E$9:$E$564,$D83,'Dados DCA'!$F$9:$F$564,"despesa_funcao_"&amp;$E83)=0,"",SUMIFS('Dados DCA'!$L$9:$L$564,'Dados DCA'!$C$9:$C$564,$C83,'Dados DCA'!$E$9:$E$564,$D83,'Dados DCA'!$F$9:$F$564,"despesa_funcao_"&amp;$E83))</f>
        <v>49718927.16</v>
      </c>
      <c r="H83" s="6" t="n">
        <f aca="false">IF(OR(G83="",SUMIFS('Cálculos Municipais'!$T$9:$T$28,'Cálculos Municipais'!$C$9:$C$28,$C83,'Cálculos Municipais'!$D$9:$D$28,$D83)=0),"",G83*SUMIFS('Cálculos Municipais'!$T$9:$T$28,'Cálculos Municipais'!$C$9:$C$28,$C83,'Cálculos Municipais'!$D$9:$D$28,$D83))</f>
        <v>54274000.805406</v>
      </c>
      <c r="I83" s="8" t="n">
        <f aca="false">IF(OR(G83="",SUMIFS('Dados DCA'!$L$9:$L$564,'Dados DCA'!$C$9:$C$564,$C83,'Dados DCA'!$E$9:$E$564,$D83,'Dados DCA'!$F$9:$F$564,"despesa_empenhada_exceto_intra")=0),"",G83/SUMIFS('Dados DCA'!$L$9:$L$564,'Dados DCA'!$C$9:$C$564,$C83,'Dados DCA'!$E$9:$E$564,$D83,'Dados DCA'!$F$9:$F$564,"despesa_empenhada_exceto_intra"))</f>
        <v>0.218615442537172</v>
      </c>
      <c r="J83" s="12" t="s">
        <v>149</v>
      </c>
    </row>
    <row r="84" customFormat="false" ht="15" hidden="false" customHeight="false" outlineLevel="0" collapsed="false">
      <c r="C84" s="12" t="s">
        <v>5</v>
      </c>
      <c r="D84" s="16" t="n">
        <v>2022</v>
      </c>
      <c r="E84" s="12" t="s">
        <v>250</v>
      </c>
      <c r="F84" s="12" t="s">
        <v>251</v>
      </c>
      <c r="G84" s="6" t="n">
        <f aca="false">IF(COUNTIFS('Dados DCA'!$C$9:$C$564,$C84,'Dados DCA'!$E$9:$E$564,$D84,'Dados DCA'!$F$9:$F$564,"despesa_funcao_"&amp;$E84)=0,"",SUMIFS('Dados DCA'!$L$9:$L$564,'Dados DCA'!$C$9:$C$564,$C84,'Dados DCA'!$E$9:$E$564,$D84,'Dados DCA'!$F$9:$F$564,"despesa_funcao_"&amp;$E84))</f>
        <v>8663731.83</v>
      </c>
      <c r="H84" s="6" t="n">
        <f aca="false">IF(OR(G84="",SUMIFS('Cálculos Municipais'!$T$9:$T$28,'Cálculos Municipais'!$C$9:$C$28,$C84,'Cálculos Municipais'!$D$9:$D$28,$D84)=0),"",G84*SUMIFS('Cálculos Municipais'!$T$9:$T$28,'Cálculos Municipais'!$C$9:$C$28,$C84,'Cálculos Municipais'!$D$9:$D$28,$D84))</f>
        <v>9457472.53970396</v>
      </c>
      <c r="I84" s="8" t="n">
        <f aca="false">IF(OR(G84="",SUMIFS('Dados DCA'!$L$9:$L$564,'Dados DCA'!$C$9:$C$564,$C84,'Dados DCA'!$E$9:$E$564,$D84,'Dados DCA'!$F$9:$F$564,"despesa_empenhada_exceto_intra")=0),"",G84/SUMIFS('Dados DCA'!$L$9:$L$564,'Dados DCA'!$C$9:$C$564,$C84,'Dados DCA'!$E$9:$E$564,$D84,'Dados DCA'!$F$9:$F$564,"despesa_empenhada_exceto_intra"))</f>
        <v>0.038094658839755</v>
      </c>
      <c r="J84" s="12" t="s">
        <v>149</v>
      </c>
    </row>
    <row r="85" customFormat="false" ht="15" hidden="false" customHeight="false" outlineLevel="0" collapsed="false">
      <c r="C85" s="12" t="s">
        <v>5</v>
      </c>
      <c r="D85" s="16" t="n">
        <v>2022</v>
      </c>
      <c r="E85" s="12" t="s">
        <v>252</v>
      </c>
      <c r="F85" s="12" t="s">
        <v>253</v>
      </c>
      <c r="G85" s="6" t="n">
        <f aca="false">IF(COUNTIFS('Dados DCA'!$C$9:$C$564,$C85,'Dados DCA'!$E$9:$E$564,$D85,'Dados DCA'!$F$9:$F$564,"despesa_funcao_"&amp;$E85)=0,"",SUMIFS('Dados DCA'!$L$9:$L$564,'Dados DCA'!$C$9:$C$564,$C85,'Dados DCA'!$E$9:$E$564,$D85,'Dados DCA'!$F$9:$F$564,"despesa_funcao_"&amp;$E85))</f>
        <v>21980440.17</v>
      </c>
      <c r="H85" s="6" t="n">
        <f aca="false">IF(OR(G85="",SUMIFS('Cálculos Municipais'!$T$9:$T$28,'Cálculos Municipais'!$C$9:$C$28,$C85,'Cálculos Municipais'!$D$9:$D$28,$D85)=0),"",G85*SUMIFS('Cálculos Municipais'!$T$9:$T$28,'Cálculos Municipais'!$C$9:$C$28,$C85,'Cálculos Municipais'!$D$9:$D$28,$D85))</f>
        <v>23994210.9702143</v>
      </c>
      <c r="I85" s="8" t="n">
        <f aca="false">IF(OR(G85="",SUMIFS('Dados DCA'!$L$9:$L$564,'Dados DCA'!$C$9:$C$564,$C85,'Dados DCA'!$E$9:$E$564,$D85,'Dados DCA'!$F$9:$F$564,"despesa_empenhada_exceto_intra")=0),"",G85/SUMIFS('Dados DCA'!$L$9:$L$564,'Dados DCA'!$C$9:$C$564,$C85,'Dados DCA'!$E$9:$E$564,$D85,'Dados DCA'!$F$9:$F$564,"despesa_empenhada_exceto_intra"))</f>
        <v>0.0966485789096495</v>
      </c>
      <c r="J85" s="12" t="s">
        <v>149</v>
      </c>
    </row>
    <row r="86" customFormat="false" ht="15" hidden="false" customHeight="false" outlineLevel="0" collapsed="false">
      <c r="C86" s="12" t="s">
        <v>5</v>
      </c>
      <c r="D86" s="16" t="n">
        <v>2022</v>
      </c>
      <c r="E86" s="12" t="s">
        <v>254</v>
      </c>
      <c r="F86" s="12" t="s">
        <v>255</v>
      </c>
      <c r="G86" s="6" t="n">
        <f aca="false">IF(COUNTIFS('Dados DCA'!$C$9:$C$564,$C86,'Dados DCA'!$E$9:$E$564,$D86,'Dados DCA'!$F$9:$F$564,"despesa_funcao_"&amp;$E86)=0,"",SUMIFS('Dados DCA'!$L$9:$L$564,'Dados DCA'!$C$9:$C$564,$C86,'Dados DCA'!$E$9:$E$564,$D86,'Dados DCA'!$F$9:$F$564,"despesa_funcao_"&amp;$E86))</f>
        <v>48895351.86</v>
      </c>
      <c r="H86" s="6" t="n">
        <f aca="false">IF(OR(G86="",SUMIFS('Cálculos Municipais'!$T$9:$T$28,'Cálculos Municipais'!$C$9:$C$28,$C86,'Cálculos Municipais'!$D$9:$D$28,$D86)=0),"",G86*SUMIFS('Cálculos Municipais'!$T$9:$T$28,'Cálculos Municipais'!$C$9:$C$28,$C86,'Cálculos Municipais'!$D$9:$D$28,$D86))</f>
        <v>53374972.4263006</v>
      </c>
      <c r="I86" s="8" t="n">
        <f aca="false">IF(OR(G86="",SUMIFS('Dados DCA'!$L$9:$L$564,'Dados DCA'!$C$9:$C$564,$C86,'Dados DCA'!$E$9:$E$564,$D86,'Dados DCA'!$F$9:$F$564,"despesa_empenhada_exceto_intra")=0),"",G86/SUMIFS('Dados DCA'!$L$9:$L$564,'Dados DCA'!$C$9:$C$564,$C86,'Dados DCA'!$E$9:$E$564,$D86,'Dados DCA'!$F$9:$F$564,"despesa_empenhada_exceto_intra"))</f>
        <v>0.214994160080839</v>
      </c>
      <c r="J86" s="12" t="s">
        <v>149</v>
      </c>
    </row>
    <row r="87" customFormat="false" ht="15" hidden="false" customHeight="false" outlineLevel="0" collapsed="false">
      <c r="C87" s="12" t="s">
        <v>5</v>
      </c>
      <c r="D87" s="16" t="n">
        <v>2022</v>
      </c>
      <c r="E87" s="12" t="s">
        <v>256</v>
      </c>
      <c r="F87" s="12" t="s">
        <v>257</v>
      </c>
      <c r="G87" s="6" t="n">
        <f aca="false">IF(COUNTIFS('Dados DCA'!$C$9:$C$564,$C87,'Dados DCA'!$E$9:$E$564,$D87,'Dados DCA'!$F$9:$F$564,"despesa_funcao_"&amp;$E87)=0,"",SUMIFS('Dados DCA'!$L$9:$L$564,'Dados DCA'!$C$9:$C$564,$C87,'Dados DCA'!$E$9:$E$564,$D87,'Dados DCA'!$F$9:$F$564,"despesa_funcao_"&amp;$E87))</f>
        <v>4924.26</v>
      </c>
      <c r="H87" s="6" t="n">
        <f aca="false">IF(OR(G87="",SUMIFS('Cálculos Municipais'!$T$9:$T$28,'Cálculos Municipais'!$C$9:$C$28,$C87,'Cálculos Municipais'!$D$9:$D$28,$D87)=0),"",G87*SUMIFS('Cálculos Municipais'!$T$9:$T$28,'Cálculos Municipais'!$C$9:$C$28,$C87,'Cálculos Municipais'!$D$9:$D$28,$D87))</f>
        <v>5375.40342224127</v>
      </c>
      <c r="I87" s="8" t="n">
        <f aca="false">IF(OR(G87="",SUMIFS('Dados DCA'!$L$9:$L$564,'Dados DCA'!$C$9:$C$564,$C87,'Dados DCA'!$E$9:$E$564,$D87,'Dados DCA'!$F$9:$F$564,"despesa_empenhada_exceto_intra")=0),"",G87/SUMIFS('Dados DCA'!$L$9:$L$564,'Dados DCA'!$C$9:$C$564,$C87,'Dados DCA'!$E$9:$E$564,$D87,'Dados DCA'!$F$9:$F$564,"despesa_empenhada_exceto_intra"))</f>
        <v>2.16521019370301E-005</v>
      </c>
      <c r="J87" s="12" t="s">
        <v>149</v>
      </c>
    </row>
    <row r="88" customFormat="false" ht="15" hidden="false" customHeight="false" outlineLevel="0" collapsed="false">
      <c r="C88" s="12" t="s">
        <v>5</v>
      </c>
      <c r="D88" s="16" t="n">
        <v>2022</v>
      </c>
      <c r="E88" s="12" t="s">
        <v>258</v>
      </c>
      <c r="F88" s="12" t="s">
        <v>259</v>
      </c>
      <c r="G88" s="6" t="n">
        <f aca="false">IF(COUNTIFS('Dados DCA'!$C$9:$C$564,$C88,'Dados DCA'!$E$9:$E$564,$D88,'Dados DCA'!$F$9:$F$564,"despesa_funcao_"&amp;$E88)=0,"",SUMIFS('Dados DCA'!$L$9:$L$564,'Dados DCA'!$C$9:$C$564,$C88,'Dados DCA'!$E$9:$E$564,$D88,'Dados DCA'!$F$9:$F$564,"despesa_funcao_"&amp;$E88))</f>
        <v>66437915.67</v>
      </c>
      <c r="H88" s="6" t="n">
        <f aca="false">IF(OR(G88="",SUMIFS('Cálculos Municipais'!$T$9:$T$28,'Cálculos Municipais'!$C$9:$C$28,$C88,'Cálculos Municipais'!$D$9:$D$28,$D88)=0),"",G88*SUMIFS('Cálculos Municipais'!$T$9:$T$28,'Cálculos Municipais'!$C$9:$C$28,$C88,'Cálculos Municipais'!$D$9:$D$28,$D88))</f>
        <v>72524724.3766769</v>
      </c>
      <c r="I88" s="8" t="n">
        <f aca="false">IF(OR(G88="",SUMIFS('Dados DCA'!$L$9:$L$564,'Dados DCA'!$C$9:$C$564,$C88,'Dados DCA'!$E$9:$E$564,$D88,'Dados DCA'!$F$9:$F$564,"despesa_empenhada_exceto_intra")=0),"",G88/SUMIFS('Dados DCA'!$L$9:$L$564,'Dados DCA'!$C$9:$C$564,$C88,'Dados DCA'!$E$9:$E$564,$D88,'Dados DCA'!$F$9:$F$564,"despesa_empenhada_exceto_intra"))</f>
        <v>0.292129278829844</v>
      </c>
      <c r="J88" s="12" t="s">
        <v>149</v>
      </c>
    </row>
    <row r="89" customFormat="false" ht="15" hidden="false" customHeight="false" outlineLevel="0" collapsed="false">
      <c r="C89" s="12" t="s">
        <v>5</v>
      </c>
      <c r="D89" s="16" t="n">
        <v>2022</v>
      </c>
      <c r="E89" s="12" t="s">
        <v>260</v>
      </c>
      <c r="F89" s="12" t="s">
        <v>261</v>
      </c>
      <c r="G89" s="6" t="n">
        <f aca="false">IF(COUNTIFS('Dados DCA'!$C$9:$C$564,$C89,'Dados DCA'!$E$9:$E$564,$D89,'Dados DCA'!$F$9:$F$564,"despesa_funcao_"&amp;$E89)=0,"",SUMIFS('Dados DCA'!$L$9:$L$564,'Dados DCA'!$C$9:$C$564,$C89,'Dados DCA'!$E$9:$E$564,$D89,'Dados DCA'!$F$9:$F$564,"despesa_funcao_"&amp;$E89))</f>
        <v>469396.42</v>
      </c>
      <c r="H89" s="6" t="n">
        <f aca="false">IF(OR(G89="",SUMIFS('Cálculos Municipais'!$T$9:$T$28,'Cálculos Municipais'!$C$9:$C$28,$C89,'Cálculos Municipais'!$D$9:$D$28,$D89)=0),"",G89*SUMIFS('Cálculos Municipais'!$T$9:$T$28,'Cálculos Municipais'!$C$9:$C$28,$C89,'Cálculos Municipais'!$D$9:$D$28,$D89))</f>
        <v>512400.872914062</v>
      </c>
      <c r="I89" s="8" t="n">
        <f aca="false">IF(OR(G89="",SUMIFS('Dados DCA'!$L$9:$L$564,'Dados DCA'!$C$9:$C$564,$C89,'Dados DCA'!$E$9:$E$564,$D89,'Dados DCA'!$F$9:$F$564,"despesa_empenhada_exceto_intra")=0),"",G89/SUMIFS('Dados DCA'!$L$9:$L$564,'Dados DCA'!$C$9:$C$564,$C89,'Dados DCA'!$E$9:$E$564,$D89,'Dados DCA'!$F$9:$F$564,"despesa_empenhada_exceto_intra"))</f>
        <v>0.00206394851911089</v>
      </c>
      <c r="J89" s="12" t="s">
        <v>149</v>
      </c>
    </row>
    <row r="90" customFormat="false" ht="15" hidden="false" customHeight="false" outlineLevel="0" collapsed="false">
      <c r="C90" s="12" t="s">
        <v>5</v>
      </c>
      <c r="D90" s="16" t="n">
        <v>2022</v>
      </c>
      <c r="E90" s="12" t="s">
        <v>278</v>
      </c>
      <c r="F90" s="12" t="s">
        <v>279</v>
      </c>
      <c r="G90" s="6" t="n">
        <f aca="false">IF(COUNTIFS('Dados DCA'!$C$9:$C$564,$C90,'Dados DCA'!$E$9:$E$564,$D90,'Dados DCA'!$F$9:$F$564,"despesa_funcao_"&amp;$E90)=0,"",SUMIFS('Dados DCA'!$L$9:$L$564,'Dados DCA'!$C$9:$C$564,$C90,'Dados DCA'!$E$9:$E$564,$D90,'Dados DCA'!$F$9:$F$564,"despesa_funcao_"&amp;$E90))</f>
        <v>265459</v>
      </c>
      <c r="H90" s="6" t="n">
        <f aca="false">IF(OR(G90="",SUMIFS('Cálculos Municipais'!$T$9:$T$28,'Cálculos Municipais'!$C$9:$C$28,$C90,'Cálculos Municipais'!$D$9:$D$28,$D90)=0),"",G90*SUMIFS('Cálculos Municipais'!$T$9:$T$28,'Cálculos Municipais'!$C$9:$C$28,$C90,'Cálculos Municipais'!$D$9:$D$28,$D90))</f>
        <v>289779.422098903</v>
      </c>
      <c r="I90" s="8" t="n">
        <f aca="false">IF(OR(G90="",SUMIFS('Dados DCA'!$L$9:$L$564,'Dados DCA'!$C$9:$C$564,$C90,'Dados DCA'!$E$9:$E$564,$D90,'Dados DCA'!$F$9:$F$564,"despesa_empenhada_exceto_intra")=0),"",G90/SUMIFS('Dados DCA'!$L$9:$L$564,'Dados DCA'!$C$9:$C$564,$C90,'Dados DCA'!$E$9:$E$564,$D90,'Dados DCA'!$F$9:$F$564,"despesa_empenhada_exceto_intra"))</f>
        <v>0.00116723026974653</v>
      </c>
      <c r="J90" s="12" t="s">
        <v>149</v>
      </c>
    </row>
    <row r="91" customFormat="false" ht="15" hidden="false" customHeight="false" outlineLevel="0" collapsed="false">
      <c r="C91" s="12" t="s">
        <v>5</v>
      </c>
      <c r="D91" s="16" t="n">
        <v>2022</v>
      </c>
      <c r="E91" s="12" t="s">
        <v>262</v>
      </c>
      <c r="F91" s="12" t="s">
        <v>263</v>
      </c>
      <c r="G91" s="6" t="n">
        <f aca="false">IF(COUNTIFS('Dados DCA'!$C$9:$C$564,$C91,'Dados DCA'!$E$9:$E$564,$D91,'Dados DCA'!$F$9:$F$564,"despesa_funcao_"&amp;$E91)=0,"",SUMIFS('Dados DCA'!$L$9:$L$564,'Dados DCA'!$C$9:$C$564,$C91,'Dados DCA'!$E$9:$E$564,$D91,'Dados DCA'!$F$9:$F$564,"despesa_funcao_"&amp;$E91))</f>
        <v>11572091.41</v>
      </c>
      <c r="H91" s="6" t="n">
        <f aca="false">IF(OR(G91="",SUMIFS('Cálculos Municipais'!$T$9:$T$28,'Cálculos Municipais'!$C$9:$C$28,$C91,'Cálculos Municipais'!$D$9:$D$28,$D91)=0),"",G91*SUMIFS('Cálculos Municipais'!$T$9:$T$28,'Cálculos Municipais'!$C$9:$C$28,$C91,'Cálculos Municipais'!$D$9:$D$28,$D91))</f>
        <v>12632285.819149</v>
      </c>
      <c r="I91" s="8" t="n">
        <f aca="false">IF(OR(G91="",SUMIFS('Dados DCA'!$L$9:$L$564,'Dados DCA'!$C$9:$C$564,$C91,'Dados DCA'!$E$9:$E$564,$D91,'Dados DCA'!$F$9:$F$564,"despesa_empenhada_exceto_intra")=0),"",G91/SUMIFS('Dados DCA'!$L$9:$L$564,'Dados DCA'!$C$9:$C$564,$C91,'Dados DCA'!$E$9:$E$564,$D91,'Dados DCA'!$F$9:$F$564,"despesa_empenhada_exceto_intra"))</f>
        <v>0.0508827931169252</v>
      </c>
      <c r="J91" s="12" t="s">
        <v>149</v>
      </c>
    </row>
    <row r="92" customFormat="false" ht="15" hidden="false" customHeight="false" outlineLevel="0" collapsed="false">
      <c r="C92" s="12" t="s">
        <v>5</v>
      </c>
      <c r="D92" s="16" t="n">
        <v>2022</v>
      </c>
      <c r="E92" s="12" t="s">
        <v>266</v>
      </c>
      <c r="F92" s="12" t="s">
        <v>267</v>
      </c>
      <c r="G92" s="6" t="n">
        <f aca="false">IF(COUNTIFS('Dados DCA'!$C$9:$C$564,$C92,'Dados DCA'!$E$9:$E$564,$D92,'Dados DCA'!$F$9:$F$564,"despesa_funcao_"&amp;$E92)=0,"",SUMIFS('Dados DCA'!$L$9:$L$564,'Dados DCA'!$C$9:$C$564,$C92,'Dados DCA'!$E$9:$E$564,$D92,'Dados DCA'!$F$9:$F$564,"despesa_funcao_"&amp;$E92))</f>
        <v>1227289.15</v>
      </c>
      <c r="H92" s="6" t="n">
        <f aca="false">IF(OR(G92="",SUMIFS('Cálculos Municipais'!$T$9:$T$28,'Cálculos Municipais'!$C$9:$C$28,$C92,'Cálculos Municipais'!$D$9:$D$28,$D92)=0),"",G92*SUMIFS('Cálculos Municipais'!$T$9:$T$28,'Cálculos Municipais'!$C$9:$C$28,$C92,'Cálculos Municipais'!$D$9:$D$28,$D92))</f>
        <v>1339729.07543257</v>
      </c>
      <c r="I92" s="8" t="n">
        <f aca="false">IF(OR(G92="",SUMIFS('Dados DCA'!$L$9:$L$564,'Dados DCA'!$C$9:$C$564,$C92,'Dados DCA'!$E$9:$E$564,$D92,'Dados DCA'!$F$9:$F$564,"despesa_empenhada_exceto_intra")=0),"",G92/SUMIFS('Dados DCA'!$L$9:$L$564,'Dados DCA'!$C$9:$C$564,$C92,'Dados DCA'!$E$9:$E$564,$D92,'Dados DCA'!$F$9:$F$564,"despesa_empenhada_exceto_intra"))</f>
        <v>0.00539642297157563</v>
      </c>
      <c r="J92" s="12" t="s">
        <v>149</v>
      </c>
    </row>
    <row r="93" customFormat="false" ht="15" hidden="false" customHeight="false" outlineLevel="0" collapsed="false">
      <c r="C93" s="12" t="s">
        <v>5</v>
      </c>
      <c r="D93" s="16" t="n">
        <v>2022</v>
      </c>
      <c r="E93" s="12" t="s">
        <v>268</v>
      </c>
      <c r="F93" s="12" t="s">
        <v>269</v>
      </c>
      <c r="G93" s="6" t="n">
        <f aca="false">IF(COUNTIFS('Dados DCA'!$C$9:$C$564,$C93,'Dados DCA'!$E$9:$E$564,$D93,'Dados DCA'!$F$9:$F$564,"despesa_funcao_"&amp;$E93)=0,"",SUMIFS('Dados DCA'!$L$9:$L$564,'Dados DCA'!$C$9:$C$564,$C93,'Dados DCA'!$E$9:$E$564,$D93,'Dados DCA'!$F$9:$F$564,"despesa_funcao_"&amp;$E93))</f>
        <v>70761.52</v>
      </c>
      <c r="H93" s="6" t="n">
        <f aca="false">IF(OR(G93="",SUMIFS('Cálculos Municipais'!$T$9:$T$28,'Cálculos Municipais'!$C$9:$C$28,$C93,'Cálculos Municipais'!$D$9:$D$28,$D93)=0),"",G93*SUMIFS('Cálculos Municipais'!$T$9:$T$28,'Cálculos Municipais'!$C$9:$C$28,$C93,'Cálculos Municipais'!$D$9:$D$28,$D93))</f>
        <v>77244.4421641006</v>
      </c>
      <c r="I93" s="8" t="n">
        <f aca="false">IF(OR(G93="",SUMIFS('Dados DCA'!$L$9:$L$564,'Dados DCA'!$C$9:$C$564,$C93,'Dados DCA'!$E$9:$E$564,$D93,'Dados DCA'!$F$9:$F$564,"despesa_empenhada_exceto_intra")=0),"",G93/SUMIFS('Dados DCA'!$L$9:$L$564,'Dados DCA'!$C$9:$C$564,$C93,'Dados DCA'!$E$9:$E$564,$D93,'Dados DCA'!$F$9:$F$564,"despesa_empenhada_exceto_intra"))</f>
        <v>0.000311140281841169</v>
      </c>
      <c r="J93" s="12" t="s">
        <v>149</v>
      </c>
    </row>
    <row r="94" customFormat="false" ht="15" hidden="false" customHeight="false" outlineLevel="0" collapsed="false">
      <c r="C94" s="12" t="s">
        <v>5</v>
      </c>
      <c r="D94" s="16" t="n">
        <v>2022</v>
      </c>
      <c r="E94" s="12" t="s">
        <v>270</v>
      </c>
      <c r="F94" s="12" t="s">
        <v>271</v>
      </c>
      <c r="G94" s="6" t="n">
        <f aca="false">IF(COUNTIFS('Dados DCA'!$C$9:$C$564,$C94,'Dados DCA'!$E$9:$E$564,$D94,'Dados DCA'!$F$9:$F$564,"despesa_funcao_"&amp;$E94)=0,"",SUMIFS('Dados DCA'!$L$9:$L$564,'Dados DCA'!$C$9:$C$564,$C94,'Dados DCA'!$E$9:$E$564,$D94,'Dados DCA'!$F$9:$F$564,"despesa_funcao_"&amp;$E94))</f>
        <v>4505261.92</v>
      </c>
      <c r="H94" s="6" t="n">
        <f aca="false">IF(OR(G94="",SUMIFS('Cálculos Municipais'!$T$9:$T$28,'Cálculos Municipais'!$C$9:$C$28,$C94,'Cálculos Municipais'!$D$9:$D$28,$D94)=0),"",G94*SUMIFS('Cálculos Municipais'!$T$9:$T$28,'Cálculos Municipais'!$C$9:$C$28,$C94,'Cálculos Municipais'!$D$9:$D$28,$D94))</f>
        <v>4918018.20839299</v>
      </c>
      <c r="I94" s="8" t="n">
        <f aca="false">IF(OR(G94="",SUMIFS('Dados DCA'!$L$9:$L$564,'Dados DCA'!$C$9:$C$564,$C94,'Dados DCA'!$E$9:$E$564,$D94,'Dados DCA'!$F$9:$F$564,"despesa_empenhada_exceto_intra")=0),"",G94/SUMIFS('Dados DCA'!$L$9:$L$564,'Dados DCA'!$C$9:$C$564,$C94,'Dados DCA'!$E$9:$E$564,$D94,'Dados DCA'!$F$9:$F$564,"despesa_empenhada_exceto_intra"))</f>
        <v>0.0198097562567492</v>
      </c>
      <c r="J94" s="12" t="s">
        <v>149</v>
      </c>
    </row>
    <row r="95" customFormat="false" ht="15" hidden="false" customHeight="false" outlineLevel="0" collapsed="false">
      <c r="C95" s="12" t="s">
        <v>5</v>
      </c>
      <c r="D95" s="16" t="n">
        <v>2022</v>
      </c>
      <c r="E95" s="12" t="s">
        <v>282</v>
      </c>
      <c r="F95" s="12" t="s">
        <v>283</v>
      </c>
      <c r="G95" s="6" t="n">
        <f aca="false">IF(COUNTIFS('Dados DCA'!$C$9:$C$564,$C95,'Dados DCA'!$E$9:$E$564,$D95,'Dados DCA'!$F$9:$F$564,"despesa_funcao_"&amp;$E95)=0,"",SUMIFS('Dados DCA'!$L$9:$L$564,'Dados DCA'!$C$9:$C$564,$C95,'Dados DCA'!$E$9:$E$564,$D95,'Dados DCA'!$F$9:$F$564,"despesa_funcao_"&amp;$E95))</f>
        <v>138356.43</v>
      </c>
      <c r="H95" s="6" t="n">
        <f aca="false">IF(OR(G95="",SUMIFS('Cálculos Municipais'!$T$9:$T$28,'Cálculos Municipais'!$C$9:$C$28,$C95,'Cálculos Municipais'!$D$9:$D$28,$D95)=0),"",G95*SUMIFS('Cálculos Municipais'!$T$9:$T$28,'Cálculos Municipais'!$C$9:$C$28,$C95,'Cálculos Municipais'!$D$9:$D$28,$D95))</f>
        <v>151032.160631462</v>
      </c>
      <c r="I95" s="8" t="n">
        <f aca="false">IF(OR(G95="",SUMIFS('Dados DCA'!$L$9:$L$564,'Dados DCA'!$C$9:$C$564,$C95,'Dados DCA'!$E$9:$E$564,$D95,'Dados DCA'!$F$9:$F$564,"despesa_empenhada_exceto_intra")=0),"",G95/SUMIFS('Dados DCA'!$L$9:$L$564,'Dados DCA'!$C$9:$C$564,$C95,'Dados DCA'!$E$9:$E$564,$D95,'Dados DCA'!$F$9:$F$564,"despesa_empenhada_exceto_intra"))</f>
        <v>0.000608356895453036</v>
      </c>
      <c r="J95" s="12" t="s">
        <v>149</v>
      </c>
    </row>
    <row r="96" customFormat="false" ht="15" hidden="false" customHeight="false" outlineLevel="0" collapsed="false">
      <c r="C96" s="12" t="s">
        <v>5</v>
      </c>
      <c r="D96" s="16" t="n">
        <v>2022</v>
      </c>
      <c r="E96" s="12" t="s">
        <v>274</v>
      </c>
      <c r="F96" s="12" t="s">
        <v>275</v>
      </c>
      <c r="G96" s="6" t="n">
        <f aca="false">IF(COUNTIFS('Dados DCA'!$C$9:$C$564,$C96,'Dados DCA'!$E$9:$E$564,$D96,'Dados DCA'!$F$9:$F$564,"despesa_funcao_"&amp;$E96)=0,"",SUMIFS('Dados DCA'!$L$9:$L$564,'Dados DCA'!$C$9:$C$564,$C96,'Dados DCA'!$E$9:$E$564,$D96,'Dados DCA'!$F$9:$F$564,"despesa_funcao_"&amp;$E96))</f>
        <v>6208045.2</v>
      </c>
      <c r="H96" s="6" t="n">
        <f aca="false">IF(OR(G96="",SUMIFS('Cálculos Municipais'!$T$9:$T$28,'Cálculos Municipais'!$C$9:$C$28,$C96,'Cálculos Municipais'!$D$9:$D$28,$D96)=0),"",G96*SUMIFS('Cálculos Municipais'!$T$9:$T$28,'Cálculos Municipais'!$C$9:$C$28,$C96,'Cálculos Municipais'!$D$9:$D$28,$D96))</f>
        <v>6776804.51753329</v>
      </c>
      <c r="I96" s="8" t="n">
        <f aca="false">IF(OR(G96="",SUMIFS('Dados DCA'!$L$9:$L$564,'Dados DCA'!$C$9:$C$564,$C96,'Dados DCA'!$E$9:$E$564,$D96,'Dados DCA'!$F$9:$F$564,"despesa_empenhada_exceto_intra")=0),"",G96/SUMIFS('Dados DCA'!$L$9:$L$564,'Dados DCA'!$C$9:$C$564,$C96,'Dados DCA'!$E$9:$E$564,$D96,'Dados DCA'!$F$9:$F$564,"despesa_empenhada_exceto_intra"))</f>
        <v>0.0272969395401726</v>
      </c>
      <c r="J96" s="12" t="s">
        <v>149</v>
      </c>
    </row>
    <row r="97" customFormat="false" ht="15" hidden="false" customHeight="false" outlineLevel="0" collapsed="false">
      <c r="C97" s="12" t="s">
        <v>5</v>
      </c>
      <c r="D97" s="16" t="n">
        <v>2023</v>
      </c>
      <c r="E97" s="12" t="s">
        <v>246</v>
      </c>
      <c r="F97" s="12" t="s">
        <v>247</v>
      </c>
      <c r="G97" s="6" t="n">
        <f aca="false">IF(COUNTIFS('Dados DCA'!$C$9:$C$564,$C97,'Dados DCA'!$E$9:$E$564,$D97,'Dados DCA'!$F$9:$F$564,"despesa_funcao_"&amp;$E97)=0,"",SUMIFS('Dados DCA'!$L$9:$L$564,'Dados DCA'!$C$9:$C$564,$C97,'Dados DCA'!$E$9:$E$564,$D97,'Dados DCA'!$F$9:$F$564,"despesa_funcao_"&amp;$E97))</f>
        <v>9428171.63</v>
      </c>
      <c r="H97" s="6" t="n">
        <f aca="false">IF(OR(G97="",SUMIFS('Cálculos Municipais'!$T$9:$T$28,'Cálculos Municipais'!$C$9:$C$28,$C97,'Cálculos Municipais'!$D$9:$D$28,$D97)=0),"",G97*SUMIFS('Cálculos Municipais'!$T$9:$T$28,'Cálculos Municipais'!$C$9:$C$28,$C97,'Cálculos Municipais'!$D$9:$D$28,$D97))</f>
        <v>9839943.63901322</v>
      </c>
      <c r="I97" s="8" t="n">
        <f aca="false">IF(OR(G97="",SUMIFS('Dados DCA'!$L$9:$L$564,'Dados DCA'!$C$9:$C$564,$C97,'Dados DCA'!$E$9:$E$564,$D97,'Dados DCA'!$F$9:$F$564,"despesa_empenhada_exceto_intra")=0),"",G97/SUMIFS('Dados DCA'!$L$9:$L$564,'Dados DCA'!$C$9:$C$564,$C97,'Dados DCA'!$E$9:$E$564,$D97,'Dados DCA'!$F$9:$F$564,"despesa_empenhada_exceto_intra"))</f>
        <v>0.0363730675044498</v>
      </c>
      <c r="J97" s="12" t="s">
        <v>152</v>
      </c>
    </row>
    <row r="98" customFormat="false" ht="15" hidden="false" customHeight="false" outlineLevel="0" collapsed="false">
      <c r="C98" s="12" t="s">
        <v>5</v>
      </c>
      <c r="D98" s="16" t="n">
        <v>2023</v>
      </c>
      <c r="E98" s="12" t="s">
        <v>248</v>
      </c>
      <c r="F98" s="12" t="s">
        <v>249</v>
      </c>
      <c r="G98" s="6" t="n">
        <f aca="false">IF(COUNTIFS('Dados DCA'!$C$9:$C$564,$C98,'Dados DCA'!$E$9:$E$564,$D98,'Dados DCA'!$F$9:$F$564,"despesa_funcao_"&amp;$E98)=0,"",SUMIFS('Dados DCA'!$L$9:$L$564,'Dados DCA'!$C$9:$C$564,$C98,'Dados DCA'!$E$9:$E$564,$D98,'Dados DCA'!$F$9:$F$564,"despesa_funcao_"&amp;$E98))</f>
        <v>50781671.44</v>
      </c>
      <c r="H98" s="6" t="n">
        <f aca="false">IF(OR(G98="",SUMIFS('Cálculos Municipais'!$T$9:$T$28,'Cálculos Municipais'!$C$9:$C$28,$C98,'Cálculos Municipais'!$D$9:$D$28,$D98)=0),"",G98*SUMIFS('Cálculos Municipais'!$T$9:$T$28,'Cálculos Municipais'!$C$9:$C$28,$C98,'Cálculos Municipais'!$D$9:$D$28,$D98))</f>
        <v>52999542.6976001</v>
      </c>
      <c r="I98" s="8" t="n">
        <f aca="false">IF(OR(G98="",SUMIFS('Dados DCA'!$L$9:$L$564,'Dados DCA'!$C$9:$C$564,$C98,'Dados DCA'!$E$9:$E$564,$D98,'Dados DCA'!$F$9:$F$564,"despesa_empenhada_exceto_intra")=0),"",G98/SUMIFS('Dados DCA'!$L$9:$L$564,'Dados DCA'!$C$9:$C$564,$C98,'Dados DCA'!$E$9:$E$564,$D98,'Dados DCA'!$F$9:$F$564,"despesa_empenhada_exceto_intra"))</f>
        <v>0.195911279064816</v>
      </c>
      <c r="J98" s="12" t="s">
        <v>152</v>
      </c>
    </row>
    <row r="99" customFormat="false" ht="15" hidden="false" customHeight="false" outlineLevel="0" collapsed="false">
      <c r="C99" s="12" t="s">
        <v>5</v>
      </c>
      <c r="D99" s="16" t="n">
        <v>2023</v>
      </c>
      <c r="E99" s="12" t="s">
        <v>250</v>
      </c>
      <c r="F99" s="12" t="s">
        <v>251</v>
      </c>
      <c r="G99" s="6" t="n">
        <f aca="false">IF(COUNTIFS('Dados DCA'!$C$9:$C$564,$C99,'Dados DCA'!$E$9:$E$564,$D99,'Dados DCA'!$F$9:$F$564,"despesa_funcao_"&amp;$E99)=0,"",SUMIFS('Dados DCA'!$L$9:$L$564,'Dados DCA'!$C$9:$C$564,$C99,'Dados DCA'!$E$9:$E$564,$D99,'Dados DCA'!$F$9:$F$564,"despesa_funcao_"&amp;$E99))</f>
        <v>14735134.12</v>
      </c>
      <c r="H99" s="6" t="n">
        <f aca="false">IF(OR(G99="",SUMIFS('Cálculos Municipais'!$T$9:$T$28,'Cálculos Municipais'!$C$9:$C$28,$C99,'Cálculos Municipais'!$D$9:$D$28,$D99)=0),"",G99*SUMIFS('Cálculos Municipais'!$T$9:$T$28,'Cálculos Municipais'!$C$9:$C$28,$C99,'Cálculos Municipais'!$D$9:$D$28,$D99))</f>
        <v>15378685.8093185</v>
      </c>
      <c r="I99" s="8" t="n">
        <f aca="false">IF(OR(G99="",SUMIFS('Dados DCA'!$L$9:$L$564,'Dados DCA'!$C$9:$C$564,$C99,'Dados DCA'!$E$9:$E$564,$D99,'Dados DCA'!$F$9:$F$564,"despesa_empenhada_exceto_intra")=0),"",G99/SUMIFS('Dados DCA'!$L$9:$L$564,'Dados DCA'!$C$9:$C$564,$C99,'Dados DCA'!$E$9:$E$564,$D99,'Dados DCA'!$F$9:$F$564,"despesa_empenhada_exceto_intra"))</f>
        <v>0.0568468679895978</v>
      </c>
      <c r="J99" s="12" t="s">
        <v>152</v>
      </c>
    </row>
    <row r="100" customFormat="false" ht="15" hidden="false" customHeight="false" outlineLevel="0" collapsed="false">
      <c r="C100" s="12" t="s">
        <v>5</v>
      </c>
      <c r="D100" s="16" t="n">
        <v>2023</v>
      </c>
      <c r="E100" s="12" t="s">
        <v>252</v>
      </c>
      <c r="F100" s="12" t="s">
        <v>253</v>
      </c>
      <c r="G100" s="6" t="n">
        <f aca="false">IF(COUNTIFS('Dados DCA'!$C$9:$C$564,$C100,'Dados DCA'!$E$9:$E$564,$D100,'Dados DCA'!$F$9:$F$564,"despesa_funcao_"&amp;$E100)=0,"",SUMIFS('Dados DCA'!$L$9:$L$564,'Dados DCA'!$C$9:$C$564,$C100,'Dados DCA'!$E$9:$E$564,$D100,'Dados DCA'!$F$9:$F$564,"despesa_funcao_"&amp;$E100))</f>
        <v>36086398.24</v>
      </c>
      <c r="H100" s="6" t="n">
        <f aca="false">IF(OR(G100="",SUMIFS('Cálculos Municipais'!$T$9:$T$28,'Cálculos Municipais'!$C$9:$C$28,$C100,'Cálculos Municipais'!$D$9:$D$28,$D100)=0),"",G100*SUMIFS('Cálculos Municipais'!$T$9:$T$28,'Cálculos Municipais'!$C$9:$C$28,$C100,'Cálculos Municipais'!$D$9:$D$28,$D100))</f>
        <v>37662458.7196432</v>
      </c>
      <c r="I100" s="8" t="n">
        <f aca="false">IF(OR(G100="",SUMIFS('Dados DCA'!$L$9:$L$564,'Dados DCA'!$C$9:$C$564,$C100,'Dados DCA'!$E$9:$E$564,$D100,'Dados DCA'!$F$9:$F$564,"despesa_empenhada_exceto_intra")=0),"",G100/SUMIFS('Dados DCA'!$L$9:$L$564,'Dados DCA'!$C$9:$C$564,$C100,'Dados DCA'!$E$9:$E$564,$D100,'Dados DCA'!$F$9:$F$564,"despesa_empenhada_exceto_intra"))</f>
        <v>0.139218191043471</v>
      </c>
      <c r="J100" s="12" t="s">
        <v>152</v>
      </c>
    </row>
    <row r="101" customFormat="false" ht="15" hidden="false" customHeight="false" outlineLevel="0" collapsed="false">
      <c r="C101" s="12" t="s">
        <v>5</v>
      </c>
      <c r="D101" s="16" t="n">
        <v>2023</v>
      </c>
      <c r="E101" s="12" t="s">
        <v>254</v>
      </c>
      <c r="F101" s="12" t="s">
        <v>255</v>
      </c>
      <c r="G101" s="6" t="n">
        <f aca="false">IF(COUNTIFS('Dados DCA'!$C$9:$C$564,$C101,'Dados DCA'!$E$9:$E$564,$D101,'Dados DCA'!$F$9:$F$564,"despesa_funcao_"&amp;$E101)=0,"",SUMIFS('Dados DCA'!$L$9:$L$564,'Dados DCA'!$C$9:$C$564,$C101,'Dados DCA'!$E$9:$E$564,$D101,'Dados DCA'!$F$9:$F$564,"despesa_funcao_"&amp;$E101))</f>
        <v>52938108.48</v>
      </c>
      <c r="H101" s="6" t="n">
        <f aca="false">IF(OR(G101="",SUMIFS('Cálculos Municipais'!$T$9:$T$28,'Cálculos Municipais'!$C$9:$C$28,$C101,'Cálculos Municipais'!$D$9:$D$28,$D101)=0),"",G101*SUMIFS('Cálculos Municipais'!$T$9:$T$28,'Cálculos Municipais'!$C$9:$C$28,$C101,'Cálculos Municipais'!$D$9:$D$28,$D101))</f>
        <v>55250161.3506549</v>
      </c>
      <c r="I101" s="8" t="n">
        <f aca="false">IF(OR(G101="",SUMIFS('Dados DCA'!$L$9:$L$564,'Dados DCA'!$C$9:$C$564,$C101,'Dados DCA'!$E$9:$E$564,$D101,'Dados DCA'!$F$9:$F$564,"despesa_empenhada_exceto_intra")=0),"",G101/SUMIFS('Dados DCA'!$L$9:$L$564,'Dados DCA'!$C$9:$C$564,$C101,'Dados DCA'!$E$9:$E$564,$D101,'Dados DCA'!$F$9:$F$564,"despesa_empenhada_exceto_intra"))</f>
        <v>0.204230625922634</v>
      </c>
      <c r="J101" s="12" t="s">
        <v>152</v>
      </c>
    </row>
    <row r="102" customFormat="false" ht="15" hidden="false" customHeight="false" outlineLevel="0" collapsed="false">
      <c r="C102" s="12" t="s">
        <v>5</v>
      </c>
      <c r="D102" s="16" t="n">
        <v>2023</v>
      </c>
      <c r="E102" s="12" t="s">
        <v>256</v>
      </c>
      <c r="F102" s="12" t="s">
        <v>257</v>
      </c>
      <c r="G102" s="6" t="n">
        <f aca="false">IF(COUNTIFS('Dados DCA'!$C$9:$C$564,$C102,'Dados DCA'!$E$9:$E$564,$D102,'Dados DCA'!$F$9:$F$564,"despesa_funcao_"&amp;$E102)=0,"",SUMIFS('Dados DCA'!$L$9:$L$564,'Dados DCA'!$C$9:$C$564,$C102,'Dados DCA'!$E$9:$E$564,$D102,'Dados DCA'!$F$9:$F$564,"despesa_funcao_"&amp;$E102))</f>
        <v>36000</v>
      </c>
      <c r="H102" s="6" t="n">
        <f aca="false">IF(OR(G102="",SUMIFS('Cálculos Municipais'!$T$9:$T$28,'Cálculos Municipais'!$C$9:$C$28,$C102,'Cálculos Municipais'!$D$9:$D$28,$D102)=0),"",G102*SUMIFS('Cálculos Municipais'!$T$9:$T$28,'Cálculos Municipais'!$C$9:$C$28,$C102,'Cálculos Municipais'!$D$9:$D$28,$D102))</f>
        <v>37572.2870675484</v>
      </c>
      <c r="I102" s="8" t="n">
        <f aca="false">IF(OR(G102="",SUMIFS('Dados DCA'!$L$9:$L$564,'Dados DCA'!$C$9:$C$564,$C102,'Dados DCA'!$E$9:$E$564,$D102,'Dados DCA'!$F$9:$F$564,"despesa_empenhada_exceto_intra")=0),"",G102/SUMIFS('Dados DCA'!$L$9:$L$564,'Dados DCA'!$C$9:$C$564,$C102,'Dados DCA'!$E$9:$E$564,$D102,'Dados DCA'!$F$9:$F$564,"despesa_empenhada_exceto_intra"))</f>
        <v>0.000138884874135473</v>
      </c>
      <c r="J102" s="12" t="s">
        <v>152</v>
      </c>
    </row>
    <row r="103" customFormat="false" ht="15" hidden="false" customHeight="false" outlineLevel="0" collapsed="false">
      <c r="C103" s="12" t="s">
        <v>5</v>
      </c>
      <c r="D103" s="16" t="n">
        <v>2023</v>
      </c>
      <c r="E103" s="12" t="s">
        <v>258</v>
      </c>
      <c r="F103" s="12" t="s">
        <v>259</v>
      </c>
      <c r="G103" s="6" t="n">
        <f aca="false">IF(COUNTIFS('Dados DCA'!$C$9:$C$564,$C103,'Dados DCA'!$E$9:$E$564,$D103,'Dados DCA'!$F$9:$F$564,"despesa_funcao_"&amp;$E103)=0,"",SUMIFS('Dados DCA'!$L$9:$L$564,'Dados DCA'!$C$9:$C$564,$C103,'Dados DCA'!$E$9:$E$564,$D103,'Dados DCA'!$F$9:$F$564,"despesa_funcao_"&amp;$E103))</f>
        <v>70329076.69</v>
      </c>
      <c r="H103" s="6" t="n">
        <f aca="false">IF(OR(G103="",SUMIFS('Cálculos Municipais'!$T$9:$T$28,'Cálculos Municipais'!$C$9:$C$28,$C103,'Cálculos Municipais'!$D$9:$D$28,$D103)=0),"",G103*SUMIFS('Cálculos Municipais'!$T$9:$T$28,'Cálculos Municipais'!$C$9:$C$28,$C103,'Cálculos Municipais'!$D$9:$D$28,$D103))</f>
        <v>73400673.8497863</v>
      </c>
      <c r="I103" s="8" t="n">
        <f aca="false">IF(OR(G103="",SUMIFS('Dados DCA'!$L$9:$L$564,'Dados DCA'!$C$9:$C$564,$C103,'Dados DCA'!$E$9:$E$564,$D103,'Dados DCA'!$F$9:$F$564,"despesa_empenhada_exceto_intra")=0),"",G103/SUMIFS('Dados DCA'!$L$9:$L$564,'Dados DCA'!$C$9:$C$564,$C103,'Dados DCA'!$E$9:$E$564,$D103,'Dados DCA'!$F$9:$F$564,"despesa_empenhada_exceto_intra"))</f>
        <v>0.27132347122652</v>
      </c>
      <c r="J103" s="12" t="s">
        <v>152</v>
      </c>
    </row>
    <row r="104" customFormat="false" ht="15" hidden="false" customHeight="false" outlineLevel="0" collapsed="false">
      <c r="C104" s="12" t="s">
        <v>5</v>
      </c>
      <c r="D104" s="16" t="n">
        <v>2023</v>
      </c>
      <c r="E104" s="12" t="s">
        <v>260</v>
      </c>
      <c r="F104" s="12" t="s">
        <v>261</v>
      </c>
      <c r="G104" s="6" t="n">
        <f aca="false">IF(COUNTIFS('Dados DCA'!$C$9:$C$564,$C104,'Dados DCA'!$E$9:$E$564,$D104,'Dados DCA'!$F$9:$F$564,"despesa_funcao_"&amp;$E104)=0,"",SUMIFS('Dados DCA'!$L$9:$L$564,'Dados DCA'!$C$9:$C$564,$C104,'Dados DCA'!$E$9:$E$564,$D104,'Dados DCA'!$F$9:$F$564,"despesa_funcao_"&amp;$E104))</f>
        <v>1402840.37</v>
      </c>
      <c r="H104" s="6" t="n">
        <f aca="false">IF(OR(G104="",SUMIFS('Cálculos Municipais'!$T$9:$T$28,'Cálculos Municipais'!$C$9:$C$28,$C104,'Cálculos Municipais'!$D$9:$D$28,$D104)=0),"",G104*SUMIFS('Cálculos Municipais'!$T$9:$T$28,'Cálculos Municipais'!$C$9:$C$28,$C104,'Cálculos Municipais'!$D$9:$D$28,$D104))</f>
        <v>1464108.91921072</v>
      </c>
      <c r="I104" s="8" t="n">
        <f aca="false">IF(OR(G104="",SUMIFS('Dados DCA'!$L$9:$L$564,'Dados DCA'!$C$9:$C$564,$C104,'Dados DCA'!$E$9:$E$564,$D104,'Dados DCA'!$F$9:$F$564,"despesa_empenhada_exceto_intra")=0),"",G104/SUMIFS('Dados DCA'!$L$9:$L$564,'Dados DCA'!$C$9:$C$564,$C104,'Dados DCA'!$E$9:$E$564,$D104,'Dados DCA'!$F$9:$F$564,"despesa_empenhada_exceto_intra"))</f>
        <v>0.00541203633943364</v>
      </c>
      <c r="J104" s="12" t="s">
        <v>152</v>
      </c>
    </row>
    <row r="105" customFormat="false" ht="15" hidden="false" customHeight="false" outlineLevel="0" collapsed="false">
      <c r="C105" s="12" t="s">
        <v>5</v>
      </c>
      <c r="D105" s="16" t="n">
        <v>2023</v>
      </c>
      <c r="E105" s="12" t="s">
        <v>278</v>
      </c>
      <c r="F105" s="12" t="s">
        <v>279</v>
      </c>
      <c r="G105" s="6" t="n">
        <f aca="false">IF(COUNTIFS('Dados DCA'!$C$9:$C$564,$C105,'Dados DCA'!$E$9:$E$564,$D105,'Dados DCA'!$F$9:$F$564,"despesa_funcao_"&amp;$E105)=0,"",SUMIFS('Dados DCA'!$L$9:$L$564,'Dados DCA'!$C$9:$C$564,$C105,'Dados DCA'!$E$9:$E$564,$D105,'Dados DCA'!$F$9:$F$564,"despesa_funcao_"&amp;$E105))</f>
        <v>455057.46</v>
      </c>
      <c r="H105" s="6" t="n">
        <f aca="false">IF(OR(G105="",SUMIFS('Cálculos Municipais'!$T$9:$T$28,'Cálculos Municipais'!$C$9:$C$28,$C105,'Cálculos Municipais'!$D$9:$D$28,$D105)=0),"",G105*SUMIFS('Cálculos Municipais'!$T$9:$T$28,'Cálculos Municipais'!$C$9:$C$28,$C105,'Cálculos Municipais'!$D$9:$D$28,$D105))</f>
        <v>474931.93109304</v>
      </c>
      <c r="I105" s="8" t="n">
        <f aca="false">IF(OR(G105="",SUMIFS('Dados DCA'!$L$9:$L$564,'Dados DCA'!$C$9:$C$564,$C105,'Dados DCA'!$E$9:$E$564,$D105,'Dados DCA'!$F$9:$F$564,"despesa_empenhada_exceto_intra")=0),"",G105/SUMIFS('Dados DCA'!$L$9:$L$564,'Dados DCA'!$C$9:$C$564,$C105,'Dados DCA'!$E$9:$E$564,$D105,'Dados DCA'!$F$9:$F$564,"despesa_empenhada_exceto_intra"))</f>
        <v>0.00175557216823634</v>
      </c>
      <c r="J105" s="12" t="s">
        <v>152</v>
      </c>
    </row>
    <row r="106" customFormat="false" ht="15" hidden="false" customHeight="false" outlineLevel="0" collapsed="false">
      <c r="C106" s="12" t="s">
        <v>5</v>
      </c>
      <c r="D106" s="16" t="n">
        <v>2023</v>
      </c>
      <c r="E106" s="12" t="s">
        <v>262</v>
      </c>
      <c r="F106" s="12" t="s">
        <v>263</v>
      </c>
      <c r="G106" s="6" t="n">
        <f aca="false">IF(COUNTIFS('Dados DCA'!$C$9:$C$564,$C106,'Dados DCA'!$E$9:$E$564,$D106,'Dados DCA'!$F$9:$F$564,"despesa_funcao_"&amp;$E106)=0,"",SUMIFS('Dados DCA'!$L$9:$L$564,'Dados DCA'!$C$9:$C$564,$C106,'Dados DCA'!$E$9:$E$564,$D106,'Dados DCA'!$F$9:$F$564,"despesa_funcao_"&amp;$E106))</f>
        <v>11750532.52</v>
      </c>
      <c r="H106" s="6" t="n">
        <f aca="false">IF(OR(G106="",SUMIFS('Cálculos Municipais'!$T$9:$T$28,'Cálculos Municipais'!$C$9:$C$28,$C106,'Cálculos Municipais'!$D$9:$D$28,$D106)=0),"",G106*SUMIFS('Cálculos Municipais'!$T$9:$T$28,'Cálculos Municipais'!$C$9:$C$28,$C106,'Cálculos Municipais'!$D$9:$D$28,$D106))</f>
        <v>12263732.8066112</v>
      </c>
      <c r="I106" s="8" t="n">
        <f aca="false">IF(OR(G106="",SUMIFS('Dados DCA'!$L$9:$L$564,'Dados DCA'!$C$9:$C$564,$C106,'Dados DCA'!$E$9:$E$564,$D106,'Dados DCA'!$F$9:$F$564,"despesa_empenhada_exceto_intra")=0),"",G106/SUMIFS('Dados DCA'!$L$9:$L$564,'Dados DCA'!$C$9:$C$564,$C106,'Dados DCA'!$E$9:$E$564,$D106,'Dados DCA'!$F$9:$F$564,"despesa_empenhada_exceto_intra"))</f>
        <v>0.0453325341684719</v>
      </c>
      <c r="J106" s="12" t="s">
        <v>152</v>
      </c>
    </row>
    <row r="107" customFormat="false" ht="15" hidden="false" customHeight="false" outlineLevel="0" collapsed="false">
      <c r="C107" s="12" t="s">
        <v>5</v>
      </c>
      <c r="D107" s="16" t="n">
        <v>2023</v>
      </c>
      <c r="E107" s="12" t="s">
        <v>266</v>
      </c>
      <c r="F107" s="12" t="s">
        <v>267</v>
      </c>
      <c r="G107" s="6" t="n">
        <f aca="false">IF(COUNTIFS('Dados DCA'!$C$9:$C$564,$C107,'Dados DCA'!$E$9:$E$564,$D107,'Dados DCA'!$F$9:$F$564,"despesa_funcao_"&amp;$E107)=0,"",SUMIFS('Dados DCA'!$L$9:$L$564,'Dados DCA'!$C$9:$C$564,$C107,'Dados DCA'!$E$9:$E$564,$D107,'Dados DCA'!$F$9:$F$564,"despesa_funcao_"&amp;$E107))</f>
        <v>1049916.08</v>
      </c>
      <c r="H107" s="6" t="n">
        <f aca="false">IF(OR(G107="",SUMIFS('Cálculos Municipais'!$T$9:$T$28,'Cálculos Municipais'!$C$9:$C$28,$C107,'Cálculos Municipais'!$D$9:$D$28,$D107)=0),"",G107*SUMIFS('Cálculos Municipais'!$T$9:$T$28,'Cálculos Municipais'!$C$9:$C$28,$C107,'Cálculos Municipais'!$D$9:$D$28,$D107))</f>
        <v>1095770.78762764</v>
      </c>
      <c r="I107" s="8" t="n">
        <f aca="false">IF(OR(G107="",SUMIFS('Dados DCA'!$L$9:$L$564,'Dados DCA'!$C$9:$C$564,$C107,'Dados DCA'!$E$9:$E$564,$D107,'Dados DCA'!$F$9:$F$564,"despesa_empenhada_exceto_intra")=0),"",G107/SUMIFS('Dados DCA'!$L$9:$L$564,'Dados DCA'!$C$9:$C$564,$C107,'Dados DCA'!$E$9:$E$564,$D107,'Dados DCA'!$F$9:$F$564,"despesa_empenhada_exceto_intra"))</f>
        <v>0.00405048507287805</v>
      </c>
      <c r="J107" s="12" t="s">
        <v>152</v>
      </c>
    </row>
    <row r="108" customFormat="false" ht="15" hidden="false" customHeight="false" outlineLevel="0" collapsed="false">
      <c r="C108" s="12" t="s">
        <v>5</v>
      </c>
      <c r="D108" s="16" t="n">
        <v>2023</v>
      </c>
      <c r="E108" s="12" t="s">
        <v>268</v>
      </c>
      <c r="F108" s="12" t="s">
        <v>269</v>
      </c>
      <c r="G108" s="6" t="n">
        <f aca="false">IF(COUNTIFS('Dados DCA'!$C$9:$C$564,$C108,'Dados DCA'!$E$9:$E$564,$D108,'Dados DCA'!$F$9:$F$564,"despesa_funcao_"&amp;$E108)=0,"",SUMIFS('Dados DCA'!$L$9:$L$564,'Dados DCA'!$C$9:$C$564,$C108,'Dados DCA'!$E$9:$E$564,$D108,'Dados DCA'!$F$9:$F$564,"despesa_funcao_"&amp;$E108))</f>
        <v>52437.91</v>
      </c>
      <c r="H108" s="6" t="n">
        <f aca="false">IF(OR(G108="",SUMIFS('Cálculos Municipais'!$T$9:$T$28,'Cálculos Municipais'!$C$9:$C$28,$C108,'Cálculos Municipais'!$D$9:$D$28,$D108)=0),"",G108*SUMIFS('Cálculos Municipais'!$T$9:$T$28,'Cálculos Municipais'!$C$9:$C$28,$C108,'Cálculos Municipais'!$D$9:$D$28,$D108))</f>
        <v>54728.1168817296</v>
      </c>
      <c r="I108" s="8" t="n">
        <f aca="false">IF(OR(G108="",SUMIFS('Dados DCA'!$L$9:$L$564,'Dados DCA'!$C$9:$C$564,$C108,'Dados DCA'!$E$9:$E$564,$D108,'Dados DCA'!$F$9:$F$564,"despesa_empenhada_exceto_intra")=0),"",G108/SUMIFS('Dados DCA'!$L$9:$L$564,'Dados DCA'!$C$9:$C$564,$C108,'Dados DCA'!$E$9:$E$564,$D108,'Dados DCA'!$F$9:$F$564,"despesa_empenhada_exceto_intra"))</f>
        <v>0.000202300903618813</v>
      </c>
      <c r="J108" s="12" t="s">
        <v>152</v>
      </c>
    </row>
    <row r="109" customFormat="false" ht="15" hidden="false" customHeight="false" outlineLevel="0" collapsed="false">
      <c r="C109" s="12" t="s">
        <v>5</v>
      </c>
      <c r="D109" s="16" t="n">
        <v>2023</v>
      </c>
      <c r="E109" s="12" t="s">
        <v>270</v>
      </c>
      <c r="F109" s="12" t="s">
        <v>271</v>
      </c>
      <c r="G109" s="6" t="n">
        <f aca="false">IF(COUNTIFS('Dados DCA'!$C$9:$C$564,$C109,'Dados DCA'!$E$9:$E$564,$D109,'Dados DCA'!$F$9:$F$564,"despesa_funcao_"&amp;$E109)=0,"",SUMIFS('Dados DCA'!$L$9:$L$564,'Dados DCA'!$C$9:$C$564,$C109,'Dados DCA'!$E$9:$E$564,$D109,'Dados DCA'!$F$9:$F$564,"despesa_funcao_"&amp;$E109))</f>
        <v>2651784.61</v>
      </c>
      <c r="H109" s="6" t="n">
        <f aca="false">IF(OR(G109="",SUMIFS('Cálculos Municipais'!$T$9:$T$28,'Cálculos Municipais'!$C$9:$C$28,$C109,'Cálculos Municipais'!$D$9:$D$28,$D109)=0),"",G109*SUMIFS('Cálculos Municipais'!$T$9:$T$28,'Cálculos Municipais'!$C$9:$C$28,$C109,'Cálculos Municipais'!$D$9:$D$28,$D109))</f>
        <v>2767600.35022852</v>
      </c>
      <c r="I109" s="8" t="n">
        <f aca="false">IF(OR(G109="",SUMIFS('Dados DCA'!$L$9:$L$564,'Dados DCA'!$C$9:$C$564,$C109,'Dados DCA'!$E$9:$E$564,$D109,'Dados DCA'!$F$9:$F$564,"despesa_empenhada_exceto_intra")=0),"",G109/SUMIFS('Dados DCA'!$L$9:$L$564,'Dados DCA'!$C$9:$C$564,$C109,'Dados DCA'!$E$9:$E$564,$D109,'Dados DCA'!$F$9:$F$564,"despesa_empenhada_exceto_intra"))</f>
        <v>0.0102303547720621</v>
      </c>
      <c r="J109" s="12" t="s">
        <v>152</v>
      </c>
    </row>
    <row r="110" customFormat="false" ht="15" hidden="false" customHeight="false" outlineLevel="0" collapsed="false">
      <c r="C110" s="12" t="s">
        <v>5</v>
      </c>
      <c r="D110" s="16" t="n">
        <v>2023</v>
      </c>
      <c r="E110" s="12" t="s">
        <v>272</v>
      </c>
      <c r="F110" s="12" t="s">
        <v>273</v>
      </c>
      <c r="G110" s="6" t="n">
        <f aca="false">IF(COUNTIFS('Dados DCA'!$C$9:$C$564,$C110,'Dados DCA'!$E$9:$E$564,$D110,'Dados DCA'!$F$9:$F$564,"despesa_funcao_"&amp;$E110)=0,"",SUMIFS('Dados DCA'!$L$9:$L$564,'Dados DCA'!$C$9:$C$564,$C110,'Dados DCA'!$E$9:$E$564,$D110,'Dados DCA'!$F$9:$F$564,"despesa_funcao_"&amp;$E110))</f>
        <v>31269.29</v>
      </c>
      <c r="H110" s="6" t="n">
        <f aca="false">IF(OR(G110="",SUMIFS('Cálculos Municipais'!$T$9:$T$28,'Cálculos Municipais'!$C$9:$C$28,$C110,'Cálculos Municipais'!$D$9:$D$28,$D110)=0),"",G110*SUMIFS('Cálculos Municipais'!$T$9:$T$28,'Cálculos Municipais'!$C$9:$C$28,$C110,'Cálculos Municipais'!$D$9:$D$28,$D110))</f>
        <v>32634.9650077339</v>
      </c>
      <c r="I110" s="8" t="n">
        <f aca="false">IF(OR(G110="",SUMIFS('Dados DCA'!$L$9:$L$564,'Dados DCA'!$C$9:$C$564,$C110,'Dados DCA'!$E$9:$E$564,$D110,'Dados DCA'!$F$9:$F$564,"despesa_empenhada_exceto_intra")=0),"",G110/SUMIFS('Dados DCA'!$L$9:$L$564,'Dados DCA'!$C$9:$C$564,$C110,'Dados DCA'!$E$9:$E$564,$D110,'Dados DCA'!$F$9:$F$564,"despesa_empenhada_exceto_intra"))</f>
        <v>0.000120634205720989</v>
      </c>
      <c r="J110" s="12" t="s">
        <v>152</v>
      </c>
    </row>
    <row r="111" customFormat="false" ht="15" hidden="false" customHeight="false" outlineLevel="0" collapsed="false">
      <c r="C111" s="12" t="s">
        <v>5</v>
      </c>
      <c r="D111" s="16" t="n">
        <v>2023</v>
      </c>
      <c r="E111" s="12" t="s">
        <v>282</v>
      </c>
      <c r="F111" s="12" t="s">
        <v>283</v>
      </c>
      <c r="G111" s="6" t="n">
        <f aca="false">IF(COUNTIFS('Dados DCA'!$C$9:$C$564,$C111,'Dados DCA'!$E$9:$E$564,$D111,'Dados DCA'!$F$9:$F$564,"despesa_funcao_"&amp;$E111)=0,"",SUMIFS('Dados DCA'!$L$9:$L$564,'Dados DCA'!$C$9:$C$564,$C111,'Dados DCA'!$E$9:$E$564,$D111,'Dados DCA'!$F$9:$F$564,"despesa_funcao_"&amp;$E111))</f>
        <v>84807.38</v>
      </c>
      <c r="H111" s="6" t="n">
        <f aca="false">IF(OR(G111="",SUMIFS('Cálculos Municipais'!$T$9:$T$28,'Cálculos Municipais'!$C$9:$C$28,$C111,'Cálculos Municipais'!$D$9:$D$28,$D111)=0),"",G111*SUMIFS('Cálculos Municipais'!$T$9:$T$28,'Cálculos Municipais'!$C$9:$C$28,$C111,'Cálculos Municipais'!$D$9:$D$28,$D111))</f>
        <v>88511.3118557406</v>
      </c>
      <c r="I111" s="8" t="n">
        <f aca="false">IF(OR(G111="",SUMIFS('Dados DCA'!$L$9:$L$564,'Dados DCA'!$C$9:$C$564,$C111,'Dados DCA'!$E$9:$E$564,$D111,'Dados DCA'!$F$9:$F$564,"despesa_empenhada_exceto_intra")=0),"",G111/SUMIFS('Dados DCA'!$L$9:$L$564,'Dados DCA'!$C$9:$C$564,$C111,'Dados DCA'!$E$9:$E$564,$D111,'Dados DCA'!$F$9:$F$564,"despesa_empenhada_exceto_intra"))</f>
        <v>0.000327179508251646</v>
      </c>
      <c r="J111" s="12" t="s">
        <v>152</v>
      </c>
    </row>
    <row r="112" customFormat="false" ht="15" hidden="false" customHeight="false" outlineLevel="0" collapsed="false">
      <c r="C112" s="12" t="s">
        <v>5</v>
      </c>
      <c r="D112" s="16" t="n">
        <v>2023</v>
      </c>
      <c r="E112" s="12" t="s">
        <v>274</v>
      </c>
      <c r="F112" s="12" t="s">
        <v>275</v>
      </c>
      <c r="G112" s="6" t="n">
        <f aca="false">IF(COUNTIFS('Dados DCA'!$C$9:$C$564,$C112,'Dados DCA'!$E$9:$E$564,$D112,'Dados DCA'!$F$9:$F$564,"despesa_funcao_"&amp;$E112)=0,"",SUMIFS('Dados DCA'!$L$9:$L$564,'Dados DCA'!$C$9:$C$564,$C112,'Dados DCA'!$E$9:$E$564,$D112,'Dados DCA'!$F$9:$F$564,"despesa_funcao_"&amp;$E112))</f>
        <v>7394286.49</v>
      </c>
      <c r="H112" s="6" t="n">
        <f aca="false">IF(OR(G112="",SUMIFS('Cálculos Municipais'!$T$9:$T$28,'Cálculos Municipais'!$C$9:$C$28,$C112,'Cálculos Municipais'!$D$9:$D$28,$D112)=0),"",G112*SUMIFS('Cálculos Municipais'!$T$9:$T$28,'Cálculos Municipais'!$C$9:$C$28,$C112,'Cálculos Municipais'!$D$9:$D$28,$D112))</f>
        <v>7717229.29616597</v>
      </c>
      <c r="I112" s="8" t="n">
        <f aca="false">IF(OR(G112="",SUMIFS('Dados DCA'!$L$9:$L$564,'Dados DCA'!$C$9:$C$564,$C112,'Dados DCA'!$E$9:$E$564,$D112,'Dados DCA'!$F$9:$F$564,"despesa_empenhada_exceto_intra")=0),"",G112/SUMIFS('Dados DCA'!$L$9:$L$564,'Dados DCA'!$C$9:$C$564,$C112,'Dados DCA'!$E$9:$E$564,$D112,'Dados DCA'!$F$9:$F$564,"despesa_empenhada_exceto_intra"))</f>
        <v>0.0285265152357023</v>
      </c>
      <c r="J112" s="12" t="s">
        <v>152</v>
      </c>
    </row>
    <row r="113" customFormat="false" ht="15" hidden="false" customHeight="false" outlineLevel="0" collapsed="false">
      <c r="C113" s="12" t="s">
        <v>5</v>
      </c>
      <c r="D113" s="16" t="n">
        <v>2024</v>
      </c>
      <c r="E113" s="12" t="s">
        <v>246</v>
      </c>
      <c r="F113" s="12" t="s">
        <v>247</v>
      </c>
      <c r="G113" s="6" t="n">
        <f aca="false">IF(COUNTIFS('Dados DCA'!$C$9:$C$564,$C113,'Dados DCA'!$E$9:$E$564,$D113,'Dados DCA'!$F$9:$F$564,"despesa_funcao_"&amp;$E113)=0,"",SUMIFS('Dados DCA'!$L$9:$L$564,'Dados DCA'!$C$9:$C$564,$C113,'Dados DCA'!$E$9:$E$564,$D113,'Dados DCA'!$F$9:$F$564,"despesa_funcao_"&amp;$E113))</f>
        <v>9287257.23</v>
      </c>
      <c r="H113" s="6" t="n">
        <f aca="false">IF(OR(G113="",SUMIFS('Cálculos Municipais'!$T$9:$T$28,'Cálculos Municipais'!$C$9:$C$28,$C113,'Cálculos Municipais'!$D$9:$D$28,$D113)=0),"",G113*SUMIFS('Cálculos Municipais'!$T$9:$T$28,'Cálculos Municipais'!$C$9:$C$28,$C113,'Cálculos Municipais'!$D$9:$D$28,$D113))</f>
        <v>9287257.23</v>
      </c>
      <c r="I113" s="8" t="n">
        <f aca="false">IF(OR(G113="",SUMIFS('Dados DCA'!$L$9:$L$564,'Dados DCA'!$C$9:$C$564,$C113,'Dados DCA'!$E$9:$E$564,$D113,'Dados DCA'!$F$9:$F$564,"despesa_empenhada_exceto_intra")=0),"",G113/SUMIFS('Dados DCA'!$L$9:$L$564,'Dados DCA'!$C$9:$C$564,$C113,'Dados DCA'!$E$9:$E$564,$D113,'Dados DCA'!$F$9:$F$564,"despesa_empenhada_exceto_intra"))</f>
        <v>0.030285705155057</v>
      </c>
      <c r="J113" s="12" t="s">
        <v>153</v>
      </c>
    </row>
    <row r="114" customFormat="false" ht="15" hidden="false" customHeight="false" outlineLevel="0" collapsed="false">
      <c r="C114" s="12" t="s">
        <v>5</v>
      </c>
      <c r="D114" s="16" t="n">
        <v>2024</v>
      </c>
      <c r="E114" s="12" t="s">
        <v>248</v>
      </c>
      <c r="F114" s="12" t="s">
        <v>249</v>
      </c>
      <c r="G114" s="6" t="n">
        <f aca="false">IF(COUNTIFS('Dados DCA'!$C$9:$C$564,$C114,'Dados DCA'!$E$9:$E$564,$D114,'Dados DCA'!$F$9:$F$564,"despesa_funcao_"&amp;$E114)=0,"",SUMIFS('Dados DCA'!$L$9:$L$564,'Dados DCA'!$C$9:$C$564,$C114,'Dados DCA'!$E$9:$E$564,$D114,'Dados DCA'!$F$9:$F$564,"despesa_funcao_"&amp;$E114))</f>
        <v>61209201.6</v>
      </c>
      <c r="H114" s="6" t="n">
        <f aca="false">IF(OR(G114="",SUMIFS('Cálculos Municipais'!$T$9:$T$28,'Cálculos Municipais'!$C$9:$C$28,$C114,'Cálculos Municipais'!$D$9:$D$28,$D114)=0),"",G114*SUMIFS('Cálculos Municipais'!$T$9:$T$28,'Cálculos Municipais'!$C$9:$C$28,$C114,'Cálculos Municipais'!$D$9:$D$28,$D114))</f>
        <v>61209201.6</v>
      </c>
      <c r="I114" s="8" t="n">
        <f aca="false">IF(OR(G114="",SUMIFS('Dados DCA'!$L$9:$L$564,'Dados DCA'!$C$9:$C$564,$C114,'Dados DCA'!$E$9:$E$564,$D114,'Dados DCA'!$F$9:$F$564,"despesa_empenhada_exceto_intra")=0),"",G114/SUMIFS('Dados DCA'!$L$9:$L$564,'Dados DCA'!$C$9:$C$564,$C114,'Dados DCA'!$E$9:$E$564,$D114,'Dados DCA'!$F$9:$F$564,"despesa_empenhada_exceto_intra"))</f>
        <v>0.199602938362249</v>
      </c>
      <c r="J114" s="12" t="s">
        <v>153</v>
      </c>
    </row>
    <row r="115" customFormat="false" ht="15" hidden="false" customHeight="false" outlineLevel="0" collapsed="false">
      <c r="C115" s="12" t="s">
        <v>5</v>
      </c>
      <c r="D115" s="16" t="n">
        <v>2024</v>
      </c>
      <c r="E115" s="12" t="s">
        <v>250</v>
      </c>
      <c r="F115" s="12" t="s">
        <v>251</v>
      </c>
      <c r="G115" s="6" t="n">
        <f aca="false">IF(COUNTIFS('Dados DCA'!$C$9:$C$564,$C115,'Dados DCA'!$E$9:$E$564,$D115,'Dados DCA'!$F$9:$F$564,"despesa_funcao_"&amp;$E115)=0,"",SUMIFS('Dados DCA'!$L$9:$L$564,'Dados DCA'!$C$9:$C$564,$C115,'Dados DCA'!$E$9:$E$564,$D115,'Dados DCA'!$F$9:$F$564,"despesa_funcao_"&amp;$E115))</f>
        <v>13807694.15</v>
      </c>
      <c r="H115" s="6" t="n">
        <f aca="false">IF(OR(G115="",SUMIFS('Cálculos Municipais'!$T$9:$T$28,'Cálculos Municipais'!$C$9:$C$28,$C115,'Cálculos Municipais'!$D$9:$D$28,$D115)=0),"",G115*SUMIFS('Cálculos Municipais'!$T$9:$T$28,'Cálculos Municipais'!$C$9:$C$28,$C115,'Cálculos Municipais'!$D$9:$D$28,$D115))</f>
        <v>13807694.15</v>
      </c>
      <c r="I115" s="8" t="n">
        <f aca="false">IF(OR(G115="",SUMIFS('Dados DCA'!$L$9:$L$564,'Dados DCA'!$C$9:$C$564,$C115,'Dados DCA'!$E$9:$E$564,$D115,'Dados DCA'!$F$9:$F$564,"despesa_empenhada_exceto_intra")=0),"",G115/SUMIFS('Dados DCA'!$L$9:$L$564,'Dados DCA'!$C$9:$C$564,$C115,'Dados DCA'!$E$9:$E$564,$D115,'Dados DCA'!$F$9:$F$564,"despesa_empenhada_exceto_intra"))</f>
        <v>0.0450268301546877</v>
      </c>
      <c r="J115" s="12" t="s">
        <v>153</v>
      </c>
    </row>
    <row r="116" customFormat="false" ht="15" hidden="false" customHeight="false" outlineLevel="0" collapsed="false">
      <c r="C116" s="12" t="s">
        <v>5</v>
      </c>
      <c r="D116" s="16" t="n">
        <v>2024</v>
      </c>
      <c r="E116" s="12" t="s">
        <v>252</v>
      </c>
      <c r="F116" s="12" t="s">
        <v>253</v>
      </c>
      <c r="G116" s="6" t="n">
        <f aca="false">IF(COUNTIFS('Dados DCA'!$C$9:$C$564,$C116,'Dados DCA'!$E$9:$E$564,$D116,'Dados DCA'!$F$9:$F$564,"despesa_funcao_"&amp;$E116)=0,"",SUMIFS('Dados DCA'!$L$9:$L$564,'Dados DCA'!$C$9:$C$564,$C116,'Dados DCA'!$E$9:$E$564,$D116,'Dados DCA'!$F$9:$F$564,"despesa_funcao_"&amp;$E116))</f>
        <v>33090916.93</v>
      </c>
      <c r="H116" s="6" t="n">
        <f aca="false">IF(OR(G116="",SUMIFS('Cálculos Municipais'!$T$9:$T$28,'Cálculos Municipais'!$C$9:$C$28,$C116,'Cálculos Municipais'!$D$9:$D$28,$D116)=0),"",G116*SUMIFS('Cálculos Municipais'!$T$9:$T$28,'Cálculos Municipais'!$C$9:$C$28,$C116,'Cálculos Municipais'!$D$9:$D$28,$D116))</f>
        <v>33090916.93</v>
      </c>
      <c r="I116" s="8" t="n">
        <f aca="false">IF(OR(G116="",SUMIFS('Dados DCA'!$L$9:$L$564,'Dados DCA'!$C$9:$C$564,$C116,'Dados DCA'!$E$9:$E$564,$D116,'Dados DCA'!$F$9:$F$564,"despesa_empenhada_exceto_intra")=0),"",G116/SUMIFS('Dados DCA'!$L$9:$L$564,'Dados DCA'!$C$9:$C$564,$C116,'Dados DCA'!$E$9:$E$564,$D116,'Dados DCA'!$F$9:$F$564,"despesa_empenhada_exceto_intra"))</f>
        <v>0.107909335192653</v>
      </c>
      <c r="J116" s="12" t="s">
        <v>153</v>
      </c>
    </row>
    <row r="117" customFormat="false" ht="15" hidden="false" customHeight="false" outlineLevel="0" collapsed="false">
      <c r="C117" s="12" t="s">
        <v>5</v>
      </c>
      <c r="D117" s="16" t="n">
        <v>2024</v>
      </c>
      <c r="E117" s="12" t="s">
        <v>254</v>
      </c>
      <c r="F117" s="12" t="s">
        <v>255</v>
      </c>
      <c r="G117" s="6" t="n">
        <f aca="false">IF(COUNTIFS('Dados DCA'!$C$9:$C$564,$C117,'Dados DCA'!$E$9:$E$564,$D117,'Dados DCA'!$F$9:$F$564,"despesa_funcao_"&amp;$E117)=0,"",SUMIFS('Dados DCA'!$L$9:$L$564,'Dados DCA'!$C$9:$C$564,$C117,'Dados DCA'!$E$9:$E$564,$D117,'Dados DCA'!$F$9:$F$564,"despesa_funcao_"&amp;$E117))</f>
        <v>66669381.86</v>
      </c>
      <c r="H117" s="6" t="n">
        <f aca="false">IF(OR(G117="",SUMIFS('Cálculos Municipais'!$T$9:$T$28,'Cálculos Municipais'!$C$9:$C$28,$C117,'Cálculos Municipais'!$D$9:$D$28,$D117)=0),"",G117*SUMIFS('Cálculos Municipais'!$T$9:$T$28,'Cálculos Municipais'!$C$9:$C$28,$C117,'Cálculos Municipais'!$D$9:$D$28,$D117))</f>
        <v>66669381.86</v>
      </c>
      <c r="I117" s="8" t="n">
        <f aca="false">IF(OR(G117="",SUMIFS('Dados DCA'!$L$9:$L$564,'Dados DCA'!$C$9:$C$564,$C117,'Dados DCA'!$E$9:$E$564,$D117,'Dados DCA'!$F$9:$F$564,"despesa_empenhada_exceto_intra")=0),"",G117/SUMIFS('Dados DCA'!$L$9:$L$564,'Dados DCA'!$C$9:$C$564,$C117,'Dados DCA'!$E$9:$E$564,$D117,'Dados DCA'!$F$9:$F$564,"despesa_empenhada_exceto_intra"))</f>
        <v>0.217408562278173</v>
      </c>
      <c r="J117" s="12" t="s">
        <v>153</v>
      </c>
    </row>
    <row r="118" customFormat="false" ht="15" hidden="false" customHeight="false" outlineLevel="0" collapsed="false">
      <c r="C118" s="12" t="s">
        <v>5</v>
      </c>
      <c r="D118" s="16" t="n">
        <v>2024</v>
      </c>
      <c r="E118" s="12" t="s">
        <v>256</v>
      </c>
      <c r="F118" s="12" t="s">
        <v>257</v>
      </c>
      <c r="G118" s="6" t="n">
        <f aca="false">IF(COUNTIFS('Dados DCA'!$C$9:$C$564,$C118,'Dados DCA'!$E$9:$E$564,$D118,'Dados DCA'!$F$9:$F$564,"despesa_funcao_"&amp;$E118)=0,"",SUMIFS('Dados DCA'!$L$9:$L$564,'Dados DCA'!$C$9:$C$564,$C118,'Dados DCA'!$E$9:$E$564,$D118,'Dados DCA'!$F$9:$F$564,"despesa_funcao_"&amp;$E118))</f>
        <v>16514.45</v>
      </c>
      <c r="H118" s="6" t="n">
        <f aca="false">IF(OR(G118="",SUMIFS('Cálculos Municipais'!$T$9:$T$28,'Cálculos Municipais'!$C$9:$C$28,$C118,'Cálculos Municipais'!$D$9:$D$28,$D118)=0),"",G118*SUMIFS('Cálculos Municipais'!$T$9:$T$28,'Cálculos Municipais'!$C$9:$C$28,$C118,'Cálculos Municipais'!$D$9:$D$28,$D118))</f>
        <v>16514.45</v>
      </c>
      <c r="I118" s="8" t="n">
        <f aca="false">IF(OR(G118="",SUMIFS('Dados DCA'!$L$9:$L$564,'Dados DCA'!$C$9:$C$564,$C118,'Dados DCA'!$E$9:$E$564,$D118,'Dados DCA'!$F$9:$F$564,"despesa_empenhada_exceto_intra")=0),"",G118/SUMIFS('Dados DCA'!$L$9:$L$564,'Dados DCA'!$C$9:$C$564,$C118,'Dados DCA'!$E$9:$E$564,$D118,'Dados DCA'!$F$9:$F$564,"despesa_empenhada_exceto_intra"))</f>
        <v>5.3853549127758E-005</v>
      </c>
      <c r="J118" s="12" t="s">
        <v>153</v>
      </c>
    </row>
    <row r="119" customFormat="false" ht="15" hidden="false" customHeight="false" outlineLevel="0" collapsed="false">
      <c r="C119" s="12" t="s">
        <v>5</v>
      </c>
      <c r="D119" s="16" t="n">
        <v>2024</v>
      </c>
      <c r="E119" s="12" t="s">
        <v>258</v>
      </c>
      <c r="F119" s="12" t="s">
        <v>259</v>
      </c>
      <c r="G119" s="6" t="n">
        <f aca="false">IF(COUNTIFS('Dados DCA'!$C$9:$C$564,$C119,'Dados DCA'!$E$9:$E$564,$D119,'Dados DCA'!$F$9:$F$564,"despesa_funcao_"&amp;$E119)=0,"",SUMIFS('Dados DCA'!$L$9:$L$564,'Dados DCA'!$C$9:$C$564,$C119,'Dados DCA'!$E$9:$E$564,$D119,'Dados DCA'!$F$9:$F$564,"despesa_funcao_"&amp;$E119))</f>
        <v>93733951.66</v>
      </c>
      <c r="H119" s="6" t="n">
        <f aca="false">IF(OR(G119="",SUMIFS('Cálculos Municipais'!$T$9:$T$28,'Cálculos Municipais'!$C$9:$C$28,$C119,'Cálculos Municipais'!$D$9:$D$28,$D119)=0),"",G119*SUMIFS('Cálculos Municipais'!$T$9:$T$28,'Cálculos Municipais'!$C$9:$C$28,$C119,'Cálculos Municipais'!$D$9:$D$28,$D119))</f>
        <v>93733951.66</v>
      </c>
      <c r="I119" s="8" t="n">
        <f aca="false">IF(OR(G119="",SUMIFS('Dados DCA'!$L$9:$L$564,'Dados DCA'!$C$9:$C$564,$C119,'Dados DCA'!$E$9:$E$564,$D119,'Dados DCA'!$F$9:$F$564,"despesa_empenhada_exceto_intra")=0),"",G119/SUMIFS('Dados DCA'!$L$9:$L$564,'Dados DCA'!$C$9:$C$564,$C119,'Dados DCA'!$E$9:$E$564,$D119,'Dados DCA'!$F$9:$F$564,"despesa_empenhada_exceto_intra"))</f>
        <v>0.305666005871265</v>
      </c>
      <c r="J119" s="12" t="s">
        <v>153</v>
      </c>
    </row>
    <row r="120" customFormat="false" ht="15" hidden="false" customHeight="false" outlineLevel="0" collapsed="false">
      <c r="C120" s="12" t="s">
        <v>5</v>
      </c>
      <c r="D120" s="16" t="n">
        <v>2024</v>
      </c>
      <c r="E120" s="12" t="s">
        <v>260</v>
      </c>
      <c r="F120" s="12" t="s">
        <v>261</v>
      </c>
      <c r="G120" s="6" t="n">
        <f aca="false">IF(COUNTIFS('Dados DCA'!$C$9:$C$564,$C120,'Dados DCA'!$E$9:$E$564,$D120,'Dados DCA'!$F$9:$F$564,"despesa_funcao_"&amp;$E120)=0,"",SUMIFS('Dados DCA'!$L$9:$L$564,'Dados DCA'!$C$9:$C$564,$C120,'Dados DCA'!$E$9:$E$564,$D120,'Dados DCA'!$F$9:$F$564,"despesa_funcao_"&amp;$E120))</f>
        <v>1315454.01</v>
      </c>
      <c r="H120" s="6" t="n">
        <f aca="false">IF(OR(G120="",SUMIFS('Cálculos Municipais'!$T$9:$T$28,'Cálculos Municipais'!$C$9:$C$28,$C120,'Cálculos Municipais'!$D$9:$D$28,$D120)=0),"",G120*SUMIFS('Cálculos Municipais'!$T$9:$T$28,'Cálculos Municipais'!$C$9:$C$28,$C120,'Cálculos Municipais'!$D$9:$D$28,$D120))</f>
        <v>1315454.01</v>
      </c>
      <c r="I120" s="8" t="n">
        <f aca="false">IF(OR(G120="",SUMIFS('Dados DCA'!$L$9:$L$564,'Dados DCA'!$C$9:$C$564,$C120,'Dados DCA'!$E$9:$E$564,$D120,'Dados DCA'!$F$9:$F$564,"despesa_empenhada_exceto_intra")=0),"",G120/SUMIFS('Dados DCA'!$L$9:$L$564,'Dados DCA'!$C$9:$C$564,$C120,'Dados DCA'!$E$9:$E$564,$D120,'Dados DCA'!$F$9:$F$564,"despesa_empenhada_exceto_intra"))</f>
        <v>0.00428968976580154</v>
      </c>
      <c r="J120" s="12" t="s">
        <v>153</v>
      </c>
    </row>
    <row r="121" customFormat="false" ht="15" hidden="false" customHeight="false" outlineLevel="0" collapsed="false">
      <c r="C121" s="12" t="s">
        <v>5</v>
      </c>
      <c r="D121" s="16" t="n">
        <v>2024</v>
      </c>
      <c r="E121" s="12" t="s">
        <v>278</v>
      </c>
      <c r="F121" s="12" t="s">
        <v>279</v>
      </c>
      <c r="G121" s="6" t="n">
        <f aca="false">IF(COUNTIFS('Dados DCA'!$C$9:$C$564,$C121,'Dados DCA'!$E$9:$E$564,$D121,'Dados DCA'!$F$9:$F$564,"despesa_funcao_"&amp;$E121)=0,"",SUMIFS('Dados DCA'!$L$9:$L$564,'Dados DCA'!$C$9:$C$564,$C121,'Dados DCA'!$E$9:$E$564,$D121,'Dados DCA'!$F$9:$F$564,"despesa_funcao_"&amp;$E121))</f>
        <v>467043.19</v>
      </c>
      <c r="H121" s="6" t="n">
        <f aca="false">IF(OR(G121="",SUMIFS('Cálculos Municipais'!$T$9:$T$28,'Cálculos Municipais'!$C$9:$C$28,$C121,'Cálculos Municipais'!$D$9:$D$28,$D121)=0),"",G121*SUMIFS('Cálculos Municipais'!$T$9:$T$28,'Cálculos Municipais'!$C$9:$C$28,$C121,'Cálculos Municipais'!$D$9:$D$28,$D121))</f>
        <v>467043.19</v>
      </c>
      <c r="I121" s="8" t="n">
        <f aca="false">IF(OR(G121="",SUMIFS('Dados DCA'!$L$9:$L$564,'Dados DCA'!$C$9:$C$564,$C121,'Dados DCA'!$E$9:$E$564,$D121,'Dados DCA'!$F$9:$F$564,"despesa_empenhada_exceto_intra")=0),"",G121/SUMIFS('Dados DCA'!$L$9:$L$564,'Dados DCA'!$C$9:$C$564,$C121,'Dados DCA'!$E$9:$E$564,$D121,'Dados DCA'!$F$9:$F$564,"despesa_empenhada_exceto_intra"))</f>
        <v>0.0015230257972533</v>
      </c>
      <c r="J121" s="12" t="s">
        <v>153</v>
      </c>
    </row>
    <row r="122" customFormat="false" ht="15" hidden="false" customHeight="false" outlineLevel="0" collapsed="false">
      <c r="C122" s="12" t="s">
        <v>5</v>
      </c>
      <c r="D122" s="16" t="n">
        <v>2024</v>
      </c>
      <c r="E122" s="12" t="s">
        <v>262</v>
      </c>
      <c r="F122" s="12" t="s">
        <v>263</v>
      </c>
      <c r="G122" s="6" t="n">
        <f aca="false">IF(COUNTIFS('Dados DCA'!$C$9:$C$564,$C122,'Dados DCA'!$E$9:$E$564,$D122,'Dados DCA'!$F$9:$F$564,"despesa_funcao_"&amp;$E122)=0,"",SUMIFS('Dados DCA'!$L$9:$L$564,'Dados DCA'!$C$9:$C$564,$C122,'Dados DCA'!$E$9:$E$564,$D122,'Dados DCA'!$F$9:$F$564,"despesa_funcao_"&amp;$E122))</f>
        <v>13291401.19</v>
      </c>
      <c r="H122" s="6" t="n">
        <f aca="false">IF(OR(G122="",SUMIFS('Cálculos Municipais'!$T$9:$T$28,'Cálculos Municipais'!$C$9:$C$28,$C122,'Cálculos Municipais'!$D$9:$D$28,$D122)=0),"",G122*SUMIFS('Cálculos Municipais'!$T$9:$T$28,'Cálculos Municipais'!$C$9:$C$28,$C122,'Cálculos Municipais'!$D$9:$D$28,$D122))</f>
        <v>13291401.19</v>
      </c>
      <c r="I122" s="8" t="n">
        <f aca="false">IF(OR(G122="",SUMIFS('Dados DCA'!$L$9:$L$564,'Dados DCA'!$C$9:$C$564,$C122,'Dados DCA'!$E$9:$E$564,$D122,'Dados DCA'!$F$9:$F$564,"despesa_empenhada_exceto_intra")=0),"",G122/SUMIFS('Dados DCA'!$L$9:$L$564,'Dados DCA'!$C$9:$C$564,$C122,'Dados DCA'!$E$9:$E$564,$D122,'Dados DCA'!$F$9:$F$564,"despesa_empenhada_exceto_intra"))</f>
        <v>0.0433432010731454</v>
      </c>
      <c r="J122" s="12" t="s">
        <v>153</v>
      </c>
    </row>
    <row r="123" customFormat="false" ht="15" hidden="false" customHeight="false" outlineLevel="0" collapsed="false">
      <c r="C123" s="12" t="s">
        <v>5</v>
      </c>
      <c r="D123" s="16" t="n">
        <v>2024</v>
      </c>
      <c r="E123" s="12" t="s">
        <v>266</v>
      </c>
      <c r="F123" s="12" t="s">
        <v>267</v>
      </c>
      <c r="G123" s="6" t="n">
        <f aca="false">IF(COUNTIFS('Dados DCA'!$C$9:$C$564,$C123,'Dados DCA'!$E$9:$E$564,$D123,'Dados DCA'!$F$9:$F$564,"despesa_funcao_"&amp;$E123)=0,"",SUMIFS('Dados DCA'!$L$9:$L$564,'Dados DCA'!$C$9:$C$564,$C123,'Dados DCA'!$E$9:$E$564,$D123,'Dados DCA'!$F$9:$F$564,"despesa_funcao_"&amp;$E123))</f>
        <v>1447469.14</v>
      </c>
      <c r="H123" s="6" t="n">
        <f aca="false">IF(OR(G123="",SUMIFS('Cálculos Municipais'!$T$9:$T$28,'Cálculos Municipais'!$C$9:$C$28,$C123,'Cálculos Municipais'!$D$9:$D$28,$D123)=0),"",G123*SUMIFS('Cálculos Municipais'!$T$9:$T$28,'Cálculos Municipais'!$C$9:$C$28,$C123,'Cálculos Municipais'!$D$9:$D$28,$D123))</f>
        <v>1447469.14</v>
      </c>
      <c r="I123" s="8" t="n">
        <f aca="false">IF(OR(G123="",SUMIFS('Dados DCA'!$L$9:$L$564,'Dados DCA'!$C$9:$C$564,$C123,'Dados DCA'!$E$9:$E$564,$D123,'Dados DCA'!$F$9:$F$564,"despesa_empenhada_exceto_intra")=0),"",G123/SUMIFS('Dados DCA'!$L$9:$L$564,'Dados DCA'!$C$9:$C$564,$C123,'Dados DCA'!$E$9:$E$564,$D123,'Dados DCA'!$F$9:$F$564,"despesa_empenhada_exceto_intra"))</f>
        <v>0.0047201905265936</v>
      </c>
      <c r="J123" s="12" t="s">
        <v>153</v>
      </c>
    </row>
    <row r="124" customFormat="false" ht="15" hidden="false" customHeight="false" outlineLevel="0" collapsed="false">
      <c r="C124" s="12" t="s">
        <v>5</v>
      </c>
      <c r="D124" s="16" t="n">
        <v>2024</v>
      </c>
      <c r="E124" s="12" t="s">
        <v>268</v>
      </c>
      <c r="F124" s="12" t="s">
        <v>269</v>
      </c>
      <c r="G124" s="6" t="n">
        <f aca="false">IF(COUNTIFS('Dados DCA'!$C$9:$C$564,$C124,'Dados DCA'!$E$9:$E$564,$D124,'Dados DCA'!$F$9:$F$564,"despesa_funcao_"&amp;$E124)=0,"",SUMIFS('Dados DCA'!$L$9:$L$564,'Dados DCA'!$C$9:$C$564,$C124,'Dados DCA'!$E$9:$E$564,$D124,'Dados DCA'!$F$9:$F$564,"despesa_funcao_"&amp;$E124))</f>
        <v>9488.99</v>
      </c>
      <c r="H124" s="6" t="n">
        <f aca="false">IF(OR(G124="",SUMIFS('Cálculos Municipais'!$T$9:$T$28,'Cálculos Municipais'!$C$9:$C$28,$C124,'Cálculos Municipais'!$D$9:$D$28,$D124)=0),"",G124*SUMIFS('Cálculos Municipais'!$T$9:$T$28,'Cálculos Municipais'!$C$9:$C$28,$C124,'Cálculos Municipais'!$D$9:$D$28,$D124))</f>
        <v>9488.99</v>
      </c>
      <c r="I124" s="8" t="n">
        <f aca="false">IF(OR(G124="",SUMIFS('Dados DCA'!$L$9:$L$564,'Dados DCA'!$C$9:$C$564,$C124,'Dados DCA'!$E$9:$E$564,$D124,'Dados DCA'!$F$9:$F$564,"despesa_empenhada_exceto_intra")=0),"",G124/SUMIFS('Dados DCA'!$L$9:$L$564,'Dados DCA'!$C$9:$C$564,$C124,'Dados DCA'!$E$9:$E$564,$D124,'Dados DCA'!$F$9:$F$564,"despesa_empenhada_exceto_intra"))</f>
        <v>3.09435548345724E-005</v>
      </c>
      <c r="J124" s="12" t="s">
        <v>153</v>
      </c>
    </row>
    <row r="125" customFormat="false" ht="15" hidden="false" customHeight="false" outlineLevel="0" collapsed="false">
      <c r="C125" s="12" t="s">
        <v>5</v>
      </c>
      <c r="D125" s="16" t="n">
        <v>2024</v>
      </c>
      <c r="E125" s="12" t="s">
        <v>270</v>
      </c>
      <c r="F125" s="12" t="s">
        <v>271</v>
      </c>
      <c r="G125" s="6" t="n">
        <f aca="false">IF(COUNTIFS('Dados DCA'!$C$9:$C$564,$C125,'Dados DCA'!$E$9:$E$564,$D125,'Dados DCA'!$F$9:$F$564,"despesa_funcao_"&amp;$E125)=0,"",SUMIFS('Dados DCA'!$L$9:$L$564,'Dados DCA'!$C$9:$C$564,$C125,'Dados DCA'!$E$9:$E$564,$D125,'Dados DCA'!$F$9:$F$564,"despesa_funcao_"&amp;$E125))</f>
        <v>4389123.19</v>
      </c>
      <c r="H125" s="6" t="n">
        <f aca="false">IF(OR(G125="",SUMIFS('Cálculos Municipais'!$T$9:$T$28,'Cálculos Municipais'!$C$9:$C$28,$C125,'Cálculos Municipais'!$D$9:$D$28,$D125)=0),"",G125*SUMIFS('Cálculos Municipais'!$T$9:$T$28,'Cálculos Municipais'!$C$9:$C$28,$C125,'Cálculos Municipais'!$D$9:$D$28,$D125))</f>
        <v>4389123.19</v>
      </c>
      <c r="I125" s="8" t="n">
        <f aca="false">IF(OR(G125="",SUMIFS('Dados DCA'!$L$9:$L$564,'Dados DCA'!$C$9:$C$564,$C125,'Dados DCA'!$E$9:$E$564,$D125,'Dados DCA'!$F$9:$F$564,"despesa_empenhada_exceto_intra")=0),"",G125/SUMIFS('Dados DCA'!$L$9:$L$564,'Dados DCA'!$C$9:$C$564,$C125,'Dados DCA'!$E$9:$E$564,$D125,'Dados DCA'!$F$9:$F$564,"despesa_empenhada_exceto_intra"))</f>
        <v>0.014312911501167</v>
      </c>
      <c r="J125" s="12" t="s">
        <v>153</v>
      </c>
    </row>
    <row r="126" customFormat="false" ht="15" hidden="false" customHeight="false" outlineLevel="0" collapsed="false">
      <c r="C126" s="12" t="s">
        <v>5</v>
      </c>
      <c r="D126" s="16" t="n">
        <v>2024</v>
      </c>
      <c r="E126" s="12" t="s">
        <v>282</v>
      </c>
      <c r="F126" s="12" t="s">
        <v>283</v>
      </c>
      <c r="G126" s="6" t="n">
        <f aca="false">IF(COUNTIFS('Dados DCA'!$C$9:$C$564,$C126,'Dados DCA'!$E$9:$E$564,$D126,'Dados DCA'!$F$9:$F$564,"despesa_funcao_"&amp;$E126)=0,"",SUMIFS('Dados DCA'!$L$9:$L$564,'Dados DCA'!$C$9:$C$564,$C126,'Dados DCA'!$E$9:$E$564,$D126,'Dados DCA'!$F$9:$F$564,"despesa_funcao_"&amp;$E126))</f>
        <v>108032.83</v>
      </c>
      <c r="H126" s="6" t="n">
        <f aca="false">IF(OR(G126="",SUMIFS('Cálculos Municipais'!$T$9:$T$28,'Cálculos Municipais'!$C$9:$C$28,$C126,'Cálculos Municipais'!$D$9:$D$28,$D126)=0),"",G126*SUMIFS('Cálculos Municipais'!$T$9:$T$28,'Cálculos Municipais'!$C$9:$C$28,$C126,'Cálculos Municipais'!$D$9:$D$28,$D126))</f>
        <v>108032.83</v>
      </c>
      <c r="I126" s="8" t="n">
        <f aca="false">IF(OR(G126="",SUMIFS('Dados DCA'!$L$9:$L$564,'Dados DCA'!$C$9:$C$564,$C126,'Dados DCA'!$E$9:$E$564,$D126,'Dados DCA'!$F$9:$F$564,"despesa_empenhada_exceto_intra")=0),"",G126/SUMIFS('Dados DCA'!$L$9:$L$564,'Dados DCA'!$C$9:$C$564,$C126,'Dados DCA'!$E$9:$E$564,$D126,'Dados DCA'!$F$9:$F$564,"despesa_empenhada_exceto_intra"))</f>
        <v>0.000352294585518484</v>
      </c>
      <c r="J126" s="12" t="s">
        <v>153</v>
      </c>
    </row>
    <row r="127" customFormat="false" ht="15" hidden="false" customHeight="false" outlineLevel="0" collapsed="false">
      <c r="C127" s="12" t="s">
        <v>5</v>
      </c>
      <c r="D127" s="16" t="n">
        <v>2024</v>
      </c>
      <c r="E127" s="12" t="s">
        <v>274</v>
      </c>
      <c r="F127" s="12" t="s">
        <v>275</v>
      </c>
      <c r="G127" s="6" t="n">
        <f aca="false">IF(COUNTIFS('Dados DCA'!$C$9:$C$564,$C127,'Dados DCA'!$E$9:$E$564,$D127,'Dados DCA'!$F$9:$F$564,"despesa_funcao_"&amp;$E127)=0,"",SUMIFS('Dados DCA'!$L$9:$L$564,'Dados DCA'!$C$9:$C$564,$C127,'Dados DCA'!$E$9:$E$564,$D127,'Dados DCA'!$F$9:$F$564,"despesa_funcao_"&amp;$E127))</f>
        <v>7811881.89</v>
      </c>
      <c r="H127" s="6" t="n">
        <f aca="false">IF(OR(G127="",SUMIFS('Cálculos Municipais'!$T$9:$T$28,'Cálculos Municipais'!$C$9:$C$28,$C127,'Cálculos Municipais'!$D$9:$D$28,$D127)=0),"",G127*SUMIFS('Cálculos Municipais'!$T$9:$T$28,'Cálculos Municipais'!$C$9:$C$28,$C127,'Cálculos Municipais'!$D$9:$D$28,$D127))</f>
        <v>7811881.89</v>
      </c>
      <c r="I127" s="8" t="n">
        <f aca="false">IF(OR(G127="",SUMIFS('Dados DCA'!$L$9:$L$564,'Dados DCA'!$C$9:$C$564,$C127,'Dados DCA'!$E$9:$E$564,$D127,'Dados DCA'!$F$9:$F$564,"despesa_empenhada_exceto_intra")=0),"",G127/SUMIFS('Dados DCA'!$L$9:$L$564,'Dados DCA'!$C$9:$C$564,$C127,'Dados DCA'!$E$9:$E$564,$D127,'Dados DCA'!$F$9:$F$564,"despesa_empenhada_exceto_intra"))</f>
        <v>0.0254745126324739</v>
      </c>
      <c r="J127" s="12" t="s">
        <v>153</v>
      </c>
    </row>
    <row r="128" customFormat="false" ht="15" hidden="false" customHeight="false" outlineLevel="0" collapsed="false">
      <c r="C128" s="12" t="s">
        <v>6</v>
      </c>
      <c r="D128" s="16" t="n">
        <v>2017</v>
      </c>
      <c r="E128" s="12" t="s">
        <v>246</v>
      </c>
      <c r="F128" s="12" t="s">
        <v>247</v>
      </c>
      <c r="G128" s="6" t="n">
        <f aca="false">IF(COUNTIFS('Dados DCA'!$C$9:$C$564,$C128,'Dados DCA'!$E$9:$E$564,$D128,'Dados DCA'!$F$9:$F$564,"despesa_funcao_"&amp;$E128)=0,"",SUMIFS('Dados DCA'!$L$9:$L$564,'Dados DCA'!$C$9:$C$564,$C128,'Dados DCA'!$E$9:$E$564,$D128,'Dados DCA'!$F$9:$F$564,"despesa_funcao_"&amp;$E128))</f>
        <v>4892795.77</v>
      </c>
      <c r="H128" s="6" t="n">
        <f aca="false">IF(OR(G128="",SUMIFS('Cálculos Municipais'!$T$9:$T$28,'Cálculos Municipais'!$C$9:$C$28,$C128,'Cálculos Municipais'!$D$9:$D$28,$D128)=0),"",G128*SUMIFS('Cálculos Municipais'!$T$9:$T$28,'Cálculos Municipais'!$C$9:$C$28,$C128,'Cálculos Municipais'!$D$9:$D$28,$D128))</f>
        <v>7015861.02198751</v>
      </c>
      <c r="I128" s="8" t="n">
        <f aca="false">IF(OR(G128="",SUMIFS('Dados DCA'!$L$9:$L$564,'Dados DCA'!$C$9:$C$564,$C128,'Dados DCA'!$E$9:$E$564,$D128,'Dados DCA'!$F$9:$F$564,"despesa_empenhada_exceto_intra")=0),"",G128/SUMIFS('Dados DCA'!$L$9:$L$564,'Dados DCA'!$C$9:$C$564,$C128,'Dados DCA'!$E$9:$E$564,$D128,'Dados DCA'!$F$9:$F$564,"despesa_empenhada_exceto_intra"))</f>
        <v>0.033386636177625</v>
      </c>
      <c r="J128" s="12" t="s">
        <v>156</v>
      </c>
    </row>
    <row r="129" customFormat="false" ht="15" hidden="false" customHeight="false" outlineLevel="0" collapsed="false">
      <c r="C129" s="12" t="s">
        <v>6</v>
      </c>
      <c r="D129" s="16" t="n">
        <v>2017</v>
      </c>
      <c r="E129" s="12" t="s">
        <v>284</v>
      </c>
      <c r="F129" s="12" t="s">
        <v>285</v>
      </c>
      <c r="G129" s="6" t="n">
        <f aca="false">IF(COUNTIFS('Dados DCA'!$C$9:$C$564,$C129,'Dados DCA'!$E$9:$E$564,$D129,'Dados DCA'!$F$9:$F$564,"despesa_funcao_"&amp;$E129)=0,"",SUMIFS('Dados DCA'!$L$9:$L$564,'Dados DCA'!$C$9:$C$564,$C129,'Dados DCA'!$E$9:$E$564,$D129,'Dados DCA'!$F$9:$F$564,"despesa_funcao_"&amp;$E129))</f>
        <v>936828.4</v>
      </c>
      <c r="H129" s="6" t="n">
        <f aca="false">IF(OR(G129="",SUMIFS('Cálculos Municipais'!$T$9:$T$28,'Cálculos Municipais'!$C$9:$C$28,$C129,'Cálculos Municipais'!$D$9:$D$28,$D129)=0),"",G129*SUMIFS('Cálculos Municipais'!$T$9:$T$28,'Cálculos Municipais'!$C$9:$C$28,$C129,'Cálculos Municipais'!$D$9:$D$28,$D129))</f>
        <v>1343333.78395864</v>
      </c>
      <c r="I129" s="8" t="n">
        <f aca="false">IF(OR(G129="",SUMIFS('Dados DCA'!$L$9:$L$564,'Dados DCA'!$C$9:$C$564,$C129,'Dados DCA'!$E$9:$E$564,$D129,'Dados DCA'!$F$9:$F$564,"despesa_empenhada_exceto_intra")=0),"",G129/SUMIFS('Dados DCA'!$L$9:$L$564,'Dados DCA'!$C$9:$C$564,$C129,'Dados DCA'!$E$9:$E$564,$D129,'Dados DCA'!$F$9:$F$564,"despesa_empenhada_exceto_intra"))</f>
        <v>0.00639257194086123</v>
      </c>
      <c r="J129" s="12" t="s">
        <v>156</v>
      </c>
    </row>
    <row r="130" customFormat="false" ht="15" hidden="false" customHeight="false" outlineLevel="0" collapsed="false">
      <c r="C130" s="12" t="s">
        <v>6</v>
      </c>
      <c r="D130" s="16" t="n">
        <v>2017</v>
      </c>
      <c r="E130" s="12" t="s">
        <v>248</v>
      </c>
      <c r="F130" s="12" t="s">
        <v>249</v>
      </c>
      <c r="G130" s="6" t="n">
        <f aca="false">IF(COUNTIFS('Dados DCA'!$C$9:$C$564,$C130,'Dados DCA'!$E$9:$E$564,$D130,'Dados DCA'!$F$9:$F$564,"despesa_funcao_"&amp;$E130)=0,"",SUMIFS('Dados DCA'!$L$9:$L$564,'Dados DCA'!$C$9:$C$564,$C130,'Dados DCA'!$E$9:$E$564,$D130,'Dados DCA'!$F$9:$F$564,"despesa_funcao_"&amp;$E130))</f>
        <v>10027980.35</v>
      </c>
      <c r="H130" s="6" t="n">
        <f aca="false">IF(OR(G130="",SUMIFS('Cálculos Municipais'!$T$9:$T$28,'Cálculos Municipais'!$C$9:$C$28,$C130,'Cálculos Municipais'!$D$9:$D$28,$D130)=0),"",G130*SUMIFS('Cálculos Municipais'!$T$9:$T$28,'Cálculos Municipais'!$C$9:$C$28,$C130,'Cálculos Municipais'!$D$9:$D$28,$D130))</f>
        <v>14379287.3796614</v>
      </c>
      <c r="I130" s="8" t="n">
        <f aca="false">IF(OR(G130="",SUMIFS('Dados DCA'!$L$9:$L$564,'Dados DCA'!$C$9:$C$564,$C130,'Dados DCA'!$E$9:$E$564,$D130,'Dados DCA'!$F$9:$F$564,"despesa_empenhada_exceto_intra")=0),"",G130/SUMIFS('Dados DCA'!$L$9:$L$564,'Dados DCA'!$C$9:$C$564,$C130,'Dados DCA'!$E$9:$E$564,$D130,'Dados DCA'!$F$9:$F$564,"despesa_empenhada_exceto_intra"))</f>
        <v>0.0684272443159471</v>
      </c>
      <c r="J130" s="12" t="s">
        <v>156</v>
      </c>
    </row>
    <row r="131" customFormat="false" ht="15" hidden="false" customHeight="false" outlineLevel="0" collapsed="false">
      <c r="C131" s="12" t="s">
        <v>6</v>
      </c>
      <c r="D131" s="16" t="n">
        <v>2017</v>
      </c>
      <c r="E131" s="12" t="s">
        <v>250</v>
      </c>
      <c r="F131" s="12" t="s">
        <v>251</v>
      </c>
      <c r="G131" s="6" t="n">
        <f aca="false">IF(COUNTIFS('Dados DCA'!$C$9:$C$564,$C131,'Dados DCA'!$E$9:$E$564,$D131,'Dados DCA'!$F$9:$F$564,"despesa_funcao_"&amp;$E131)=0,"",SUMIFS('Dados DCA'!$L$9:$L$564,'Dados DCA'!$C$9:$C$564,$C131,'Dados DCA'!$E$9:$E$564,$D131,'Dados DCA'!$F$9:$F$564,"despesa_funcao_"&amp;$E131))</f>
        <v>3815137.65</v>
      </c>
      <c r="H131" s="6" t="n">
        <f aca="false">IF(OR(G131="",SUMIFS('Cálculos Municipais'!$T$9:$T$28,'Cálculos Municipais'!$C$9:$C$28,$C131,'Cálculos Municipais'!$D$9:$D$28,$D131)=0),"",G131*SUMIFS('Cálculos Municipais'!$T$9:$T$28,'Cálculos Municipais'!$C$9:$C$28,$C131,'Cálculos Municipais'!$D$9:$D$28,$D131))</f>
        <v>5470589.16627375</v>
      </c>
      <c r="I131" s="8" t="n">
        <f aca="false">IF(OR(G131="",SUMIFS('Dados DCA'!$L$9:$L$564,'Dados DCA'!$C$9:$C$564,$C131,'Dados DCA'!$E$9:$E$564,$D131,'Dados DCA'!$F$9:$F$564,"despesa_empenhada_exceto_intra")=0),"",G131/SUMIFS('Dados DCA'!$L$9:$L$564,'Dados DCA'!$C$9:$C$564,$C131,'Dados DCA'!$E$9:$E$564,$D131,'Dados DCA'!$F$9:$F$564,"despesa_empenhada_exceto_intra"))</f>
        <v>0.0260330940991042</v>
      </c>
      <c r="J131" s="12" t="s">
        <v>156</v>
      </c>
    </row>
    <row r="132" customFormat="false" ht="15" hidden="false" customHeight="false" outlineLevel="0" collapsed="false">
      <c r="C132" s="12" t="s">
        <v>6</v>
      </c>
      <c r="D132" s="16" t="n">
        <v>2017</v>
      </c>
      <c r="E132" s="12" t="s">
        <v>252</v>
      </c>
      <c r="F132" s="12" t="s">
        <v>253</v>
      </c>
      <c r="G132" s="6" t="n">
        <f aca="false">IF(COUNTIFS('Dados DCA'!$C$9:$C$564,$C132,'Dados DCA'!$E$9:$E$564,$D132,'Dados DCA'!$F$9:$F$564,"despesa_funcao_"&amp;$E132)=0,"",SUMIFS('Dados DCA'!$L$9:$L$564,'Dados DCA'!$C$9:$C$564,$C132,'Dados DCA'!$E$9:$E$564,$D132,'Dados DCA'!$F$9:$F$564,"despesa_funcao_"&amp;$E132))</f>
        <v>13189246.94</v>
      </c>
      <c r="H132" s="6" t="n">
        <f aca="false">IF(OR(G132="",SUMIFS('Cálculos Municipais'!$T$9:$T$28,'Cálculos Municipais'!$C$9:$C$28,$C132,'Cálculos Municipais'!$D$9:$D$28,$D132)=0),"",G132*SUMIFS('Cálculos Municipais'!$T$9:$T$28,'Cálculos Municipais'!$C$9:$C$28,$C132,'Cálculos Municipais'!$D$9:$D$28,$D132))</f>
        <v>18912279.9858278</v>
      </c>
      <c r="I132" s="8" t="n">
        <f aca="false">IF(OR(G132="",SUMIFS('Dados DCA'!$L$9:$L$564,'Dados DCA'!$C$9:$C$564,$C132,'Dados DCA'!$E$9:$E$564,$D132,'Dados DCA'!$F$9:$F$564,"despesa_empenhada_exceto_intra")=0),"",G132/SUMIFS('Dados DCA'!$L$9:$L$564,'Dados DCA'!$C$9:$C$564,$C132,'Dados DCA'!$E$9:$E$564,$D132,'Dados DCA'!$F$9:$F$564,"despesa_empenhada_exceto_intra"))</f>
        <v>0.0899985631410553</v>
      </c>
      <c r="J132" s="12" t="s">
        <v>156</v>
      </c>
    </row>
    <row r="133" customFormat="false" ht="15" hidden="false" customHeight="false" outlineLevel="0" collapsed="false">
      <c r="C133" s="12" t="s">
        <v>6</v>
      </c>
      <c r="D133" s="16" t="n">
        <v>2017</v>
      </c>
      <c r="E133" s="12" t="s">
        <v>254</v>
      </c>
      <c r="F133" s="12" t="s">
        <v>255</v>
      </c>
      <c r="G133" s="6" t="n">
        <f aca="false">IF(COUNTIFS('Dados DCA'!$C$9:$C$564,$C133,'Dados DCA'!$E$9:$E$564,$D133,'Dados DCA'!$F$9:$F$564,"despesa_funcao_"&amp;$E133)=0,"",SUMIFS('Dados DCA'!$L$9:$L$564,'Dados DCA'!$C$9:$C$564,$C133,'Dados DCA'!$E$9:$E$564,$D133,'Dados DCA'!$F$9:$F$564,"despesa_funcao_"&amp;$E133))</f>
        <v>31209743.92</v>
      </c>
      <c r="H133" s="6" t="n">
        <f aca="false">IF(OR(G133="",SUMIFS('Cálculos Municipais'!$T$9:$T$28,'Cálculos Municipais'!$C$9:$C$28,$C133,'Cálculos Municipais'!$D$9:$D$28,$D133)=0),"",G133*SUMIFS('Cálculos Municipais'!$T$9:$T$28,'Cálculos Municipais'!$C$9:$C$28,$C133,'Cálculos Municipais'!$D$9:$D$28,$D133))</f>
        <v>44752169.5504041</v>
      </c>
      <c r="I133" s="8" t="n">
        <f aca="false">IF(OR(G133="",SUMIFS('Dados DCA'!$L$9:$L$564,'Dados DCA'!$C$9:$C$564,$C133,'Dados DCA'!$E$9:$E$564,$D133,'Dados DCA'!$F$9:$F$564,"despesa_empenhada_exceto_intra")=0),"",G133/SUMIFS('Dados DCA'!$L$9:$L$564,'Dados DCA'!$C$9:$C$564,$C133,'Dados DCA'!$E$9:$E$564,$D133,'Dados DCA'!$F$9:$F$564,"despesa_empenhada_exceto_intra"))</f>
        <v>0.212963797067271</v>
      </c>
      <c r="J133" s="12" t="s">
        <v>156</v>
      </c>
    </row>
    <row r="134" customFormat="false" ht="15" hidden="false" customHeight="false" outlineLevel="0" collapsed="false">
      <c r="C134" s="12" t="s">
        <v>6</v>
      </c>
      <c r="D134" s="16" t="n">
        <v>2017</v>
      </c>
      <c r="E134" s="12" t="s">
        <v>258</v>
      </c>
      <c r="F134" s="12" t="s">
        <v>259</v>
      </c>
      <c r="G134" s="6" t="n">
        <f aca="false">IF(COUNTIFS('Dados DCA'!$C$9:$C$564,$C134,'Dados DCA'!$E$9:$E$564,$D134,'Dados DCA'!$F$9:$F$564,"despesa_funcao_"&amp;$E134)=0,"",SUMIFS('Dados DCA'!$L$9:$L$564,'Dados DCA'!$C$9:$C$564,$C134,'Dados DCA'!$E$9:$E$564,$D134,'Dados DCA'!$F$9:$F$564,"despesa_funcao_"&amp;$E134))</f>
        <v>60726478.32</v>
      </c>
      <c r="H134" s="6" t="n">
        <f aca="false">IF(OR(G134="",SUMIFS('Cálculos Municipais'!$T$9:$T$28,'Cálculos Municipais'!$C$9:$C$28,$C134,'Cálculos Municipais'!$D$9:$D$28,$D134)=0),"",G134*SUMIFS('Cálculos Municipais'!$T$9:$T$28,'Cálculos Municipais'!$C$9:$C$28,$C134,'Cálculos Municipais'!$D$9:$D$28,$D134))</f>
        <v>87076704.66447</v>
      </c>
      <c r="I134" s="8" t="n">
        <f aca="false">IF(OR(G134="",SUMIFS('Dados DCA'!$L$9:$L$564,'Dados DCA'!$C$9:$C$564,$C134,'Dados DCA'!$E$9:$E$564,$D134,'Dados DCA'!$F$9:$F$564,"despesa_empenhada_exceto_intra")=0),"",G134/SUMIFS('Dados DCA'!$L$9:$L$564,'Dados DCA'!$C$9:$C$564,$C134,'Dados DCA'!$E$9:$E$564,$D134,'Dados DCA'!$F$9:$F$564,"despesa_empenhada_exceto_intra"))</f>
        <v>0.414375120753971</v>
      </c>
      <c r="J134" s="12" t="s">
        <v>156</v>
      </c>
    </row>
    <row r="135" customFormat="false" ht="15" hidden="false" customHeight="false" outlineLevel="0" collapsed="false">
      <c r="C135" s="12" t="s">
        <v>6</v>
      </c>
      <c r="D135" s="16" t="n">
        <v>2017</v>
      </c>
      <c r="E135" s="12" t="s">
        <v>260</v>
      </c>
      <c r="F135" s="12" t="s">
        <v>261</v>
      </c>
      <c r="G135" s="6" t="n">
        <f aca="false">IF(COUNTIFS('Dados DCA'!$C$9:$C$564,$C135,'Dados DCA'!$E$9:$E$564,$D135,'Dados DCA'!$F$9:$F$564,"despesa_funcao_"&amp;$E135)=0,"",SUMIFS('Dados DCA'!$L$9:$L$564,'Dados DCA'!$C$9:$C$564,$C135,'Dados DCA'!$E$9:$E$564,$D135,'Dados DCA'!$F$9:$F$564,"despesa_funcao_"&amp;$E135))</f>
        <v>3927214.99</v>
      </c>
      <c r="H135" s="6" t="n">
        <f aca="false">IF(OR(G135="",SUMIFS('Cálculos Municipais'!$T$9:$T$28,'Cálculos Municipais'!$C$9:$C$28,$C135,'Cálculos Municipais'!$D$9:$D$28,$D135)=0),"",G135*SUMIFS('Cálculos Municipais'!$T$9:$T$28,'Cálculos Municipais'!$C$9:$C$28,$C135,'Cálculos Municipais'!$D$9:$D$28,$D135))</f>
        <v>5631298.72336897</v>
      </c>
      <c r="I135" s="8" t="n">
        <f aca="false">IF(OR(G135="",SUMIFS('Dados DCA'!$L$9:$L$564,'Dados DCA'!$C$9:$C$564,$C135,'Dados DCA'!$E$9:$E$564,$D135,'Dados DCA'!$F$9:$F$564,"despesa_empenhada_exceto_intra")=0),"",G135/SUMIFS('Dados DCA'!$L$9:$L$564,'Dados DCA'!$C$9:$C$564,$C135,'Dados DCA'!$E$9:$E$564,$D135,'Dados DCA'!$F$9:$F$564,"despesa_empenhada_exceto_intra"))</f>
        <v>0.026797868585969</v>
      </c>
      <c r="J135" s="12" t="s">
        <v>156</v>
      </c>
    </row>
    <row r="136" customFormat="false" ht="15" hidden="false" customHeight="false" outlineLevel="0" collapsed="false">
      <c r="C136" s="12" t="s">
        <v>6</v>
      </c>
      <c r="D136" s="16" t="n">
        <v>2017</v>
      </c>
      <c r="E136" s="12" t="s">
        <v>262</v>
      </c>
      <c r="F136" s="12" t="s">
        <v>263</v>
      </c>
      <c r="G136" s="6" t="n">
        <f aca="false">IF(COUNTIFS('Dados DCA'!$C$9:$C$564,$C136,'Dados DCA'!$E$9:$E$564,$D136,'Dados DCA'!$F$9:$F$564,"despesa_funcao_"&amp;$E136)=0,"",SUMIFS('Dados DCA'!$L$9:$L$564,'Dados DCA'!$C$9:$C$564,$C136,'Dados DCA'!$E$9:$E$564,$D136,'Dados DCA'!$F$9:$F$564,"despesa_funcao_"&amp;$E136))</f>
        <v>9721716.98</v>
      </c>
      <c r="H136" s="6" t="n">
        <f aca="false">IF(OR(G136="",SUMIFS('Cálculos Municipais'!$T$9:$T$28,'Cálculos Municipais'!$C$9:$C$28,$C136,'Cálculos Municipais'!$D$9:$D$28,$D136)=0),"",G136*SUMIFS('Cálculos Municipais'!$T$9:$T$28,'Cálculos Municipais'!$C$9:$C$28,$C136,'Cálculos Municipais'!$D$9:$D$28,$D136))</f>
        <v>13940131.2527656</v>
      </c>
      <c r="I136" s="8" t="n">
        <f aca="false">IF(OR(G136="",SUMIFS('Dados DCA'!$L$9:$L$564,'Dados DCA'!$C$9:$C$564,$C136,'Dados DCA'!$E$9:$E$564,$D136,'Dados DCA'!$F$9:$F$564,"despesa_empenhada_exceto_intra")=0),"",G136/SUMIFS('Dados DCA'!$L$9:$L$564,'Dados DCA'!$C$9:$C$564,$C136,'Dados DCA'!$E$9:$E$564,$D136,'Dados DCA'!$F$9:$F$564,"despesa_empenhada_exceto_intra"))</f>
        <v>0.0663374158846403</v>
      </c>
      <c r="J136" s="12" t="s">
        <v>156</v>
      </c>
    </row>
    <row r="137" customFormat="false" ht="15" hidden="false" customHeight="false" outlineLevel="0" collapsed="false">
      <c r="C137" s="12" t="s">
        <v>6</v>
      </c>
      <c r="D137" s="16" t="n">
        <v>2017</v>
      </c>
      <c r="E137" s="12" t="s">
        <v>264</v>
      </c>
      <c r="F137" s="12" t="s">
        <v>265</v>
      </c>
      <c r="G137" s="6" t="n">
        <f aca="false">IF(COUNTIFS('Dados DCA'!$C$9:$C$564,$C137,'Dados DCA'!$E$9:$E$564,$D137,'Dados DCA'!$F$9:$F$564,"despesa_funcao_"&amp;$E137)=0,"",SUMIFS('Dados DCA'!$L$9:$L$564,'Dados DCA'!$C$9:$C$564,$C137,'Dados DCA'!$E$9:$E$564,$D137,'Dados DCA'!$F$9:$F$564,"despesa_funcao_"&amp;$E137))</f>
        <v>163.06</v>
      </c>
      <c r="H137" s="6" t="n">
        <f aca="false">IF(OR(G137="",SUMIFS('Cálculos Municipais'!$T$9:$T$28,'Cálculos Municipais'!$C$9:$C$28,$C137,'Cálculos Municipais'!$D$9:$D$28,$D137)=0),"",G137*SUMIFS('Cálculos Municipais'!$T$9:$T$28,'Cálculos Municipais'!$C$9:$C$28,$C137,'Cálculos Municipais'!$D$9:$D$28,$D137))</f>
        <v>233.814439028851</v>
      </c>
      <c r="I137" s="8" t="n">
        <f aca="false">IF(OR(G137="",SUMIFS('Dados DCA'!$L$9:$L$564,'Dados DCA'!$C$9:$C$564,$C137,'Dados DCA'!$E$9:$E$564,$D137,'Dados DCA'!$F$9:$F$564,"despesa_empenhada_exceto_intra")=0),"",G137/SUMIFS('Dados DCA'!$L$9:$L$564,'Dados DCA'!$C$9:$C$564,$C137,'Dados DCA'!$E$9:$E$564,$D137,'Dados DCA'!$F$9:$F$564,"despesa_empenhada_exceto_intra"))</f>
        <v>1.11266138033052E-006</v>
      </c>
      <c r="J137" s="12" t="s">
        <v>156</v>
      </c>
    </row>
    <row r="138" customFormat="false" ht="15" hidden="false" customHeight="false" outlineLevel="0" collapsed="false">
      <c r="C138" s="12" t="s">
        <v>6</v>
      </c>
      <c r="D138" s="16" t="n">
        <v>2017</v>
      </c>
      <c r="E138" s="12" t="s">
        <v>286</v>
      </c>
      <c r="F138" s="12" t="s">
        <v>287</v>
      </c>
      <c r="G138" s="6" t="n">
        <f aca="false">IF(COUNTIFS('Dados DCA'!$C$9:$C$564,$C138,'Dados DCA'!$E$9:$E$564,$D138,'Dados DCA'!$F$9:$F$564,"despesa_funcao_"&amp;$E138)=0,"",SUMIFS('Dados DCA'!$L$9:$L$564,'Dados DCA'!$C$9:$C$564,$C138,'Dados DCA'!$E$9:$E$564,$D138,'Dados DCA'!$F$9:$F$564,"despesa_funcao_"&amp;$E138))</f>
        <v>1075166.19</v>
      </c>
      <c r="H138" s="6" t="n">
        <f aca="false">IF(OR(G138="",SUMIFS('Cálculos Municipais'!$T$9:$T$28,'Cálculos Municipais'!$C$9:$C$28,$C138,'Cálculos Municipais'!$D$9:$D$28,$D138)=0),"",G138*SUMIFS('Cálculos Municipais'!$T$9:$T$28,'Cálculos Municipais'!$C$9:$C$28,$C138,'Cálculos Municipais'!$D$9:$D$28,$D138))</f>
        <v>1541698.63594773</v>
      </c>
      <c r="I138" s="8" t="n">
        <f aca="false">IF(OR(G138="",SUMIFS('Dados DCA'!$L$9:$L$564,'Dados DCA'!$C$9:$C$564,$C138,'Dados DCA'!$E$9:$E$564,$D138,'Dados DCA'!$F$9:$F$564,"despesa_empenhada_exceto_intra")=0),"",G138/SUMIFS('Dados DCA'!$L$9:$L$564,'Dados DCA'!$C$9:$C$564,$C138,'Dados DCA'!$E$9:$E$564,$D138,'Dados DCA'!$F$9:$F$564,"despesa_empenhada_exceto_intra"))</f>
        <v>0.00733653806604996</v>
      </c>
      <c r="J138" s="12" t="s">
        <v>156</v>
      </c>
    </row>
    <row r="139" customFormat="false" ht="15" hidden="false" customHeight="false" outlineLevel="0" collapsed="false">
      <c r="C139" s="12" t="s">
        <v>6</v>
      </c>
      <c r="D139" s="16" t="n">
        <v>2017</v>
      </c>
      <c r="E139" s="12" t="s">
        <v>268</v>
      </c>
      <c r="F139" s="12" t="s">
        <v>269</v>
      </c>
      <c r="G139" s="6" t="n">
        <f aca="false">IF(COUNTIFS('Dados DCA'!$C$9:$C$564,$C139,'Dados DCA'!$E$9:$E$564,$D139,'Dados DCA'!$F$9:$F$564,"despesa_funcao_"&amp;$E139)=0,"",SUMIFS('Dados DCA'!$L$9:$L$564,'Dados DCA'!$C$9:$C$564,$C139,'Dados DCA'!$E$9:$E$564,$D139,'Dados DCA'!$F$9:$F$564,"despesa_funcao_"&amp;$E139))</f>
        <v>3157171.33</v>
      </c>
      <c r="H139" s="6" t="n">
        <f aca="false">IF(OR(G139="",SUMIFS('Cálculos Municipais'!$T$9:$T$28,'Cálculos Municipais'!$C$9:$C$28,$C139,'Cálculos Municipais'!$D$9:$D$28,$D139)=0),"",G139*SUMIFS('Cálculos Municipais'!$T$9:$T$28,'Cálculos Municipais'!$C$9:$C$28,$C139,'Cálculos Municipais'!$D$9:$D$28,$D139))</f>
        <v>4527120.3449155</v>
      </c>
      <c r="I139" s="8" t="n">
        <f aca="false">IF(OR(G139="",SUMIFS('Dados DCA'!$L$9:$L$564,'Dados DCA'!$C$9:$C$564,$C139,'Dados DCA'!$E$9:$E$564,$D139,'Dados DCA'!$F$9:$F$564,"despesa_empenhada_exceto_intra")=0),"",G139/SUMIFS('Dados DCA'!$L$9:$L$564,'Dados DCA'!$C$9:$C$564,$C139,'Dados DCA'!$E$9:$E$564,$D139,'Dados DCA'!$F$9:$F$564,"despesa_empenhada_exceto_intra"))</f>
        <v>0.0215433742792699</v>
      </c>
      <c r="J139" s="12" t="s">
        <v>156</v>
      </c>
    </row>
    <row r="140" customFormat="false" ht="15" hidden="false" customHeight="false" outlineLevel="0" collapsed="false">
      <c r="C140" s="12" t="s">
        <v>6</v>
      </c>
      <c r="D140" s="16" t="n">
        <v>2017</v>
      </c>
      <c r="E140" s="12" t="s">
        <v>270</v>
      </c>
      <c r="F140" s="12" t="s">
        <v>271</v>
      </c>
      <c r="G140" s="6" t="n">
        <f aca="false">IF(COUNTIFS('Dados DCA'!$C$9:$C$564,$C140,'Dados DCA'!$E$9:$E$564,$D140,'Dados DCA'!$F$9:$F$564,"despesa_funcao_"&amp;$E140)=0,"",SUMIFS('Dados DCA'!$L$9:$L$564,'Dados DCA'!$C$9:$C$564,$C140,'Dados DCA'!$E$9:$E$564,$D140,'Dados DCA'!$F$9:$F$564,"despesa_funcao_"&amp;$E140))</f>
        <v>221904.74</v>
      </c>
      <c r="H140" s="6" t="n">
        <f aca="false">IF(OR(G140="",SUMIFS('Cálculos Municipais'!$T$9:$T$28,'Cálculos Municipais'!$C$9:$C$28,$C140,'Cálculos Municipais'!$D$9:$D$28,$D140)=0),"",G140*SUMIFS('Cálculos Municipais'!$T$9:$T$28,'Cálculos Municipais'!$C$9:$C$28,$C140,'Cálculos Municipais'!$D$9:$D$28,$D140))</f>
        <v>318192.88789981</v>
      </c>
      <c r="I140" s="8" t="n">
        <f aca="false">IF(OR(G140="",SUMIFS('Dados DCA'!$L$9:$L$564,'Dados DCA'!$C$9:$C$564,$C140,'Dados DCA'!$E$9:$E$564,$D140,'Dados DCA'!$F$9:$F$564,"despesa_empenhada_exceto_intra")=0),"",G140/SUMIFS('Dados DCA'!$L$9:$L$564,'Dados DCA'!$C$9:$C$564,$C140,'Dados DCA'!$E$9:$E$564,$D140,'Dados DCA'!$F$9:$F$564,"despesa_empenhada_exceto_intra"))</f>
        <v>0.00151419621188694</v>
      </c>
      <c r="J140" s="12" t="s">
        <v>156</v>
      </c>
    </row>
    <row r="141" customFormat="false" ht="15" hidden="false" customHeight="false" outlineLevel="0" collapsed="false">
      <c r="C141" s="12" t="s">
        <v>6</v>
      </c>
      <c r="D141" s="16" t="n">
        <v>2017</v>
      </c>
      <c r="E141" s="12" t="s">
        <v>282</v>
      </c>
      <c r="F141" s="12" t="s">
        <v>283</v>
      </c>
      <c r="G141" s="6" t="n">
        <f aca="false">IF(COUNTIFS('Dados DCA'!$C$9:$C$564,$C141,'Dados DCA'!$E$9:$E$564,$D141,'Dados DCA'!$F$9:$F$564,"despesa_funcao_"&amp;$E141)=0,"",SUMIFS('Dados DCA'!$L$9:$L$564,'Dados DCA'!$C$9:$C$564,$C141,'Dados DCA'!$E$9:$E$564,$D141,'Dados DCA'!$F$9:$F$564,"despesa_funcao_"&amp;$E141))</f>
        <v>505057.5</v>
      </c>
      <c r="H141" s="6" t="n">
        <f aca="false">IF(OR(G141="",SUMIFS('Cálculos Municipais'!$T$9:$T$28,'Cálculos Municipais'!$C$9:$C$28,$C141,'Cálculos Municipais'!$D$9:$D$28,$D141)=0),"",G141*SUMIFS('Cálculos Municipais'!$T$9:$T$28,'Cálculos Municipais'!$C$9:$C$28,$C141,'Cálculos Municipais'!$D$9:$D$28,$D141))</f>
        <v>724210.327730981</v>
      </c>
      <c r="I141" s="8" t="n">
        <f aca="false">IF(OR(G141="",SUMIFS('Dados DCA'!$L$9:$L$564,'Dados DCA'!$C$9:$C$564,$C141,'Dados DCA'!$E$9:$E$564,$D141,'Dados DCA'!$F$9:$F$564,"despesa_empenhada_exceto_intra")=0),"",G141/SUMIFS('Dados DCA'!$L$9:$L$564,'Dados DCA'!$C$9:$C$564,$C141,'Dados DCA'!$E$9:$E$564,$D141,'Dados DCA'!$F$9:$F$564,"despesa_empenhada_exceto_intra"))</f>
        <v>0.00344632635285344</v>
      </c>
      <c r="J141" s="12" t="s">
        <v>156</v>
      </c>
    </row>
    <row r="142" customFormat="false" ht="15" hidden="false" customHeight="false" outlineLevel="0" collapsed="false">
      <c r="C142" s="12" t="s">
        <v>6</v>
      </c>
      <c r="D142" s="16" t="n">
        <v>2017</v>
      </c>
      <c r="E142" s="12" t="s">
        <v>274</v>
      </c>
      <c r="F142" s="12" t="s">
        <v>275</v>
      </c>
      <c r="G142" s="6" t="n">
        <f aca="false">IF(COUNTIFS('Dados DCA'!$C$9:$C$564,$C142,'Dados DCA'!$E$9:$E$564,$D142,'Dados DCA'!$F$9:$F$564,"despesa_funcao_"&amp;$E142)=0,"",SUMIFS('Dados DCA'!$L$9:$L$564,'Dados DCA'!$C$9:$C$564,$C142,'Dados DCA'!$E$9:$E$564,$D142,'Dados DCA'!$F$9:$F$564,"despesa_funcao_"&amp;$E142))</f>
        <v>3142921.76</v>
      </c>
      <c r="H142" s="6" t="n">
        <f aca="false">IF(OR(G142="",SUMIFS('Cálculos Municipais'!$T$9:$T$28,'Cálculos Municipais'!$C$9:$C$28,$C142,'Cálculos Municipais'!$D$9:$D$28,$D142)=0),"",G142*SUMIFS('Cálculos Municipais'!$T$9:$T$28,'Cálculos Municipais'!$C$9:$C$28,$C142,'Cálculos Municipais'!$D$9:$D$28,$D142))</f>
        <v>4506687.65010406</v>
      </c>
      <c r="I142" s="8" t="n">
        <f aca="false">IF(OR(G142="",SUMIFS('Dados DCA'!$L$9:$L$564,'Dados DCA'!$C$9:$C$564,$C142,'Dados DCA'!$E$9:$E$564,$D142,'Dados DCA'!$F$9:$F$564,"despesa_empenhada_exceto_intra")=0),"",G142/SUMIFS('Dados DCA'!$L$9:$L$564,'Dados DCA'!$C$9:$C$564,$C142,'Dados DCA'!$E$9:$E$564,$D142,'Dados DCA'!$F$9:$F$564,"despesa_empenhada_exceto_intra"))</f>
        <v>0.0214461404621147</v>
      </c>
      <c r="J142" s="12" t="s">
        <v>156</v>
      </c>
    </row>
    <row r="143" customFormat="false" ht="15" hidden="false" customHeight="false" outlineLevel="0" collapsed="false">
      <c r="C143" s="12" t="s">
        <v>6</v>
      </c>
      <c r="D143" s="16" t="n">
        <v>2018</v>
      </c>
      <c r="E143" s="12" t="s">
        <v>246</v>
      </c>
      <c r="F143" s="12" t="s">
        <v>247</v>
      </c>
      <c r="G143" s="6" t="n">
        <f aca="false">IF(COUNTIFS('Dados DCA'!$C$9:$C$564,$C143,'Dados DCA'!$E$9:$E$564,$D143,'Dados DCA'!$F$9:$F$564,"despesa_funcao_"&amp;$E143)=0,"",SUMIFS('Dados DCA'!$L$9:$L$564,'Dados DCA'!$C$9:$C$564,$C143,'Dados DCA'!$E$9:$E$564,$D143,'Dados DCA'!$F$9:$F$564,"despesa_funcao_"&amp;$E143))</f>
        <v>4847533.4</v>
      </c>
      <c r="H143" s="6" t="n">
        <f aca="false">IF(OR(G143="",SUMIFS('Cálculos Municipais'!$T$9:$T$28,'Cálculos Municipais'!$C$9:$C$28,$C143,'Cálculos Municipais'!$D$9:$D$28,$D143)=0),"",G143*SUMIFS('Cálculos Municipais'!$T$9:$T$28,'Cálculos Municipais'!$C$9:$C$28,$C143,'Cálculos Municipais'!$D$9:$D$28,$D143))</f>
        <v>6705222.20381593</v>
      </c>
      <c r="I143" s="8" t="n">
        <f aca="false">IF(OR(G143="",SUMIFS('Dados DCA'!$L$9:$L$564,'Dados DCA'!$C$9:$C$564,$C143,'Dados DCA'!$E$9:$E$564,$D143,'Dados DCA'!$F$9:$F$564,"despesa_empenhada_exceto_intra")=0),"",G143/SUMIFS('Dados DCA'!$L$9:$L$564,'Dados DCA'!$C$9:$C$564,$C143,'Dados DCA'!$E$9:$E$564,$D143,'Dados DCA'!$F$9:$F$564,"despesa_empenhada_exceto_intra"))</f>
        <v>0.0291641015652381</v>
      </c>
      <c r="J143" s="12" t="s">
        <v>161</v>
      </c>
    </row>
    <row r="144" customFormat="false" ht="15" hidden="false" customHeight="false" outlineLevel="0" collapsed="false">
      <c r="C144" s="12" t="s">
        <v>6</v>
      </c>
      <c r="D144" s="16" t="n">
        <v>2018</v>
      </c>
      <c r="E144" s="12" t="s">
        <v>284</v>
      </c>
      <c r="F144" s="12" t="s">
        <v>285</v>
      </c>
      <c r="G144" s="6" t="n">
        <f aca="false">IF(COUNTIFS('Dados DCA'!$C$9:$C$564,$C144,'Dados DCA'!$E$9:$E$564,$D144,'Dados DCA'!$F$9:$F$564,"despesa_funcao_"&amp;$E144)=0,"",SUMIFS('Dados DCA'!$L$9:$L$564,'Dados DCA'!$C$9:$C$564,$C144,'Dados DCA'!$E$9:$E$564,$D144,'Dados DCA'!$F$9:$F$564,"despesa_funcao_"&amp;$E144))</f>
        <v>1308587.42</v>
      </c>
      <c r="H144" s="6" t="n">
        <f aca="false">IF(OR(G144="",SUMIFS('Cálculos Municipais'!$T$9:$T$28,'Cálculos Municipais'!$C$9:$C$28,$C144,'Cálculos Municipais'!$D$9:$D$28,$D144)=0),"",G144*SUMIFS('Cálculos Municipais'!$T$9:$T$28,'Cálculos Municipais'!$C$9:$C$28,$C144,'Cálculos Municipais'!$D$9:$D$28,$D144))</f>
        <v>1810068.89487718</v>
      </c>
      <c r="I144" s="8" t="n">
        <f aca="false">IF(OR(G144="",SUMIFS('Dados DCA'!$L$9:$L$564,'Dados DCA'!$C$9:$C$564,$C144,'Dados DCA'!$E$9:$E$564,$D144,'Dados DCA'!$F$9:$F$564,"despesa_empenhada_exceto_intra")=0),"",G144/SUMIFS('Dados DCA'!$L$9:$L$564,'Dados DCA'!$C$9:$C$564,$C144,'Dados DCA'!$E$9:$E$564,$D144,'Dados DCA'!$F$9:$F$564,"despesa_empenhada_exceto_intra"))</f>
        <v>0.00787282382084729</v>
      </c>
      <c r="J144" s="12" t="s">
        <v>161</v>
      </c>
    </row>
    <row r="145" customFormat="false" ht="15" hidden="false" customHeight="false" outlineLevel="0" collapsed="false">
      <c r="C145" s="12" t="s">
        <v>6</v>
      </c>
      <c r="D145" s="16" t="n">
        <v>2018</v>
      </c>
      <c r="E145" s="12" t="s">
        <v>248</v>
      </c>
      <c r="F145" s="12" t="s">
        <v>249</v>
      </c>
      <c r="G145" s="6" t="n">
        <f aca="false">IF(COUNTIFS('Dados DCA'!$C$9:$C$564,$C145,'Dados DCA'!$E$9:$E$564,$D145,'Dados DCA'!$F$9:$F$564,"despesa_funcao_"&amp;$E145)=0,"",SUMIFS('Dados DCA'!$L$9:$L$564,'Dados DCA'!$C$9:$C$564,$C145,'Dados DCA'!$E$9:$E$564,$D145,'Dados DCA'!$F$9:$F$564,"despesa_funcao_"&amp;$E145))</f>
        <v>12235810.92</v>
      </c>
      <c r="H145" s="6" t="n">
        <f aca="false">IF(OR(G145="",SUMIFS('Cálculos Municipais'!$T$9:$T$28,'Cálculos Municipais'!$C$9:$C$28,$C145,'Cálculos Municipais'!$D$9:$D$28,$D145)=0),"",G145*SUMIFS('Cálculos Municipais'!$T$9:$T$28,'Cálculos Municipais'!$C$9:$C$28,$C145,'Cálculos Municipais'!$D$9:$D$28,$D145))</f>
        <v>16924861.4279744</v>
      </c>
      <c r="I145" s="8" t="n">
        <f aca="false">IF(OR(G145="",SUMIFS('Dados DCA'!$L$9:$L$564,'Dados DCA'!$C$9:$C$564,$C145,'Dados DCA'!$E$9:$E$564,$D145,'Dados DCA'!$F$9:$F$564,"despesa_empenhada_exceto_intra")=0),"",G145/SUMIFS('Dados DCA'!$L$9:$L$564,'Dados DCA'!$C$9:$C$564,$C145,'Dados DCA'!$E$9:$E$564,$D145,'Dados DCA'!$F$9:$F$564,"despesa_empenhada_exceto_intra"))</f>
        <v>0.0736140224230181</v>
      </c>
      <c r="J145" s="12" t="s">
        <v>161</v>
      </c>
    </row>
    <row r="146" customFormat="false" ht="15" hidden="false" customHeight="false" outlineLevel="0" collapsed="false">
      <c r="C146" s="12" t="s">
        <v>6</v>
      </c>
      <c r="D146" s="16" t="n">
        <v>2018</v>
      </c>
      <c r="E146" s="12" t="s">
        <v>276</v>
      </c>
      <c r="F146" s="12" t="s">
        <v>277</v>
      </c>
      <c r="G146" s="6" t="n">
        <f aca="false">IF(COUNTIFS('Dados DCA'!$C$9:$C$564,$C146,'Dados DCA'!$E$9:$E$564,$D146,'Dados DCA'!$F$9:$F$564,"despesa_funcao_"&amp;$E146)=0,"",SUMIFS('Dados DCA'!$L$9:$L$564,'Dados DCA'!$C$9:$C$564,$C146,'Dados DCA'!$E$9:$E$564,$D146,'Dados DCA'!$F$9:$F$564,"despesa_funcao_"&amp;$E146))</f>
        <v>1400</v>
      </c>
      <c r="H146" s="6" t="n">
        <f aca="false">IF(OR(G146="",SUMIFS('Cálculos Municipais'!$T$9:$T$28,'Cálculos Municipais'!$C$9:$C$28,$C146,'Cálculos Municipais'!$D$9:$D$28,$D146)=0),"",G146*SUMIFS('Cálculos Municipais'!$T$9:$T$28,'Cálculos Municipais'!$C$9:$C$28,$C146,'Cálculos Municipais'!$D$9:$D$28,$D146))</f>
        <v>1936.5129253864</v>
      </c>
      <c r="I146" s="8" t="n">
        <f aca="false">IF(OR(G146="",SUMIFS('Dados DCA'!$L$9:$L$564,'Dados DCA'!$C$9:$C$564,$C146,'Dados DCA'!$E$9:$E$564,$D146,'Dados DCA'!$F$9:$F$564,"despesa_empenhada_exceto_intra")=0),"",G146/SUMIFS('Dados DCA'!$L$9:$L$564,'Dados DCA'!$C$9:$C$564,$C146,'Dados DCA'!$E$9:$E$564,$D146,'Dados DCA'!$F$9:$F$564,"despesa_empenhada_exceto_intra"))</f>
        <v>8.42278718313386E-006</v>
      </c>
      <c r="J146" s="12" t="s">
        <v>161</v>
      </c>
    </row>
    <row r="147" customFormat="false" ht="15" hidden="false" customHeight="false" outlineLevel="0" collapsed="false">
      <c r="C147" s="12" t="s">
        <v>6</v>
      </c>
      <c r="D147" s="16" t="n">
        <v>2018</v>
      </c>
      <c r="E147" s="12" t="s">
        <v>250</v>
      </c>
      <c r="F147" s="12" t="s">
        <v>251</v>
      </c>
      <c r="G147" s="6" t="n">
        <f aca="false">IF(COUNTIFS('Dados DCA'!$C$9:$C$564,$C147,'Dados DCA'!$E$9:$E$564,$D147,'Dados DCA'!$F$9:$F$564,"despesa_funcao_"&amp;$E147)=0,"",SUMIFS('Dados DCA'!$L$9:$L$564,'Dados DCA'!$C$9:$C$564,$C147,'Dados DCA'!$E$9:$E$564,$D147,'Dados DCA'!$F$9:$F$564,"despesa_funcao_"&amp;$E147))</f>
        <v>4367659.18</v>
      </c>
      <c r="H147" s="6" t="n">
        <f aca="false">IF(OR(G147="",SUMIFS('Cálculos Municipais'!$T$9:$T$28,'Cálculos Municipais'!$C$9:$C$28,$C147,'Cálculos Municipais'!$D$9:$D$28,$D147)=0),"",G147*SUMIFS('Cálculos Municipais'!$T$9:$T$28,'Cálculos Municipais'!$C$9:$C$28,$C147,'Cálculos Municipais'!$D$9:$D$28,$D147))</f>
        <v>6041448.89696613</v>
      </c>
      <c r="I147" s="8" t="n">
        <f aca="false">IF(OR(G147="",SUMIFS('Dados DCA'!$L$9:$L$564,'Dados DCA'!$C$9:$C$564,$C147,'Dados DCA'!$E$9:$E$564,$D147,'Dados DCA'!$F$9:$F$564,"despesa_empenhada_exceto_intra")=0),"",G147/SUMIFS('Dados DCA'!$L$9:$L$564,'Dados DCA'!$C$9:$C$564,$C147,'Dados DCA'!$E$9:$E$564,$D147,'Dados DCA'!$F$9:$F$564,"despesa_empenhada_exceto_intra"))</f>
        <v>0.0262770455440007</v>
      </c>
      <c r="J147" s="12" t="s">
        <v>161</v>
      </c>
    </row>
    <row r="148" customFormat="false" ht="15" hidden="false" customHeight="false" outlineLevel="0" collapsed="false">
      <c r="C148" s="12" t="s">
        <v>6</v>
      </c>
      <c r="D148" s="16" t="n">
        <v>2018</v>
      </c>
      <c r="E148" s="12" t="s">
        <v>252</v>
      </c>
      <c r="F148" s="12" t="s">
        <v>253</v>
      </c>
      <c r="G148" s="6" t="n">
        <f aca="false">IF(COUNTIFS('Dados DCA'!$C$9:$C$564,$C148,'Dados DCA'!$E$9:$E$564,$D148,'Dados DCA'!$F$9:$F$564,"despesa_funcao_"&amp;$E148)=0,"",SUMIFS('Dados DCA'!$L$9:$L$564,'Dados DCA'!$C$9:$C$564,$C148,'Dados DCA'!$E$9:$E$564,$D148,'Dados DCA'!$F$9:$F$564,"despesa_funcao_"&amp;$E148))</f>
        <v>14512494.81</v>
      </c>
      <c r="H148" s="6" t="n">
        <f aca="false">IF(OR(G148="",SUMIFS('Cálculos Municipais'!$T$9:$T$28,'Cálculos Municipais'!$C$9:$C$28,$C148,'Cálculos Municipais'!$D$9:$D$28,$D148)=0),"",G148*SUMIFS('Cálculos Municipais'!$T$9:$T$28,'Cálculos Municipais'!$C$9:$C$28,$C148,'Cálculos Municipais'!$D$9:$D$28,$D148))</f>
        <v>20074024.1279772</v>
      </c>
      <c r="I148" s="8" t="n">
        <f aca="false">IF(OR(G148="",SUMIFS('Dados DCA'!$L$9:$L$564,'Dados DCA'!$C$9:$C$564,$C148,'Dados DCA'!$E$9:$E$564,$D148,'Dados DCA'!$F$9:$F$564,"despesa_empenhada_exceto_intra")=0),"",G148/SUMIFS('Dados DCA'!$L$9:$L$564,'Dados DCA'!$C$9:$C$564,$C148,'Dados DCA'!$E$9:$E$564,$D148,'Dados DCA'!$F$9:$F$564,"despesa_empenhada_exceto_intra"))</f>
        <v>0.0873111823435462</v>
      </c>
      <c r="J148" s="12" t="s">
        <v>161</v>
      </c>
    </row>
    <row r="149" customFormat="false" ht="15" hidden="false" customHeight="false" outlineLevel="0" collapsed="false">
      <c r="C149" s="12" t="s">
        <v>6</v>
      </c>
      <c r="D149" s="16" t="n">
        <v>2018</v>
      </c>
      <c r="E149" s="12" t="s">
        <v>254</v>
      </c>
      <c r="F149" s="12" t="s">
        <v>255</v>
      </c>
      <c r="G149" s="6" t="n">
        <f aca="false">IF(COUNTIFS('Dados DCA'!$C$9:$C$564,$C149,'Dados DCA'!$E$9:$E$564,$D149,'Dados DCA'!$F$9:$F$564,"despesa_funcao_"&amp;$E149)=0,"",SUMIFS('Dados DCA'!$L$9:$L$564,'Dados DCA'!$C$9:$C$564,$C149,'Dados DCA'!$E$9:$E$564,$D149,'Dados DCA'!$F$9:$F$564,"despesa_funcao_"&amp;$E149))</f>
        <v>38931432.63</v>
      </c>
      <c r="H149" s="6" t="n">
        <f aca="false">IF(OR(G149="",SUMIFS('Cálculos Municipais'!$T$9:$T$28,'Cálculos Municipais'!$C$9:$C$28,$C149,'Cálculos Municipais'!$D$9:$D$28,$D149)=0),"",G149*SUMIFS('Cálculos Municipais'!$T$9:$T$28,'Cálculos Municipais'!$C$9:$C$28,$C149,'Cálculos Municipais'!$D$9:$D$28,$D149))</f>
        <v>53850873.2084321</v>
      </c>
      <c r="I149" s="8" t="n">
        <f aca="false">IF(OR(G149="",SUMIFS('Dados DCA'!$L$9:$L$564,'Dados DCA'!$C$9:$C$564,$C149,'Dados DCA'!$E$9:$E$564,$D149,'Dados DCA'!$F$9:$F$564,"despesa_empenhada_exceto_intra")=0),"",G149/SUMIFS('Dados DCA'!$L$9:$L$564,'Dados DCA'!$C$9:$C$564,$C149,'Dados DCA'!$E$9:$E$564,$D149,'Dados DCA'!$F$9:$F$564,"despesa_empenhada_exceto_intra"))</f>
        <v>0.234222265555002</v>
      </c>
      <c r="J149" s="12" t="s">
        <v>161</v>
      </c>
    </row>
    <row r="150" customFormat="false" ht="15" hidden="false" customHeight="false" outlineLevel="0" collapsed="false">
      <c r="C150" s="12" t="s">
        <v>6</v>
      </c>
      <c r="D150" s="16" t="n">
        <v>2018</v>
      </c>
      <c r="E150" s="12" t="s">
        <v>258</v>
      </c>
      <c r="F150" s="12" t="s">
        <v>259</v>
      </c>
      <c r="G150" s="6" t="n">
        <f aca="false">IF(COUNTIFS('Dados DCA'!$C$9:$C$564,$C150,'Dados DCA'!$E$9:$E$564,$D150,'Dados DCA'!$F$9:$F$564,"despesa_funcao_"&amp;$E150)=0,"",SUMIFS('Dados DCA'!$L$9:$L$564,'Dados DCA'!$C$9:$C$564,$C150,'Dados DCA'!$E$9:$E$564,$D150,'Dados DCA'!$F$9:$F$564,"despesa_funcao_"&amp;$E150))</f>
        <v>64090907.27</v>
      </c>
      <c r="H150" s="6" t="n">
        <f aca="false">IF(OR(G150="",SUMIFS('Cálculos Municipais'!$T$9:$T$28,'Cálculos Municipais'!$C$9:$C$28,$C150,'Cálculos Municipais'!$D$9:$D$28,$D150)=0),"",G150*SUMIFS('Cálculos Municipais'!$T$9:$T$28,'Cálculos Municipais'!$C$9:$C$28,$C150,'Cálculos Municipais'!$D$9:$D$28,$D150))</f>
        <v>88652050.2343546</v>
      </c>
      <c r="I150" s="8" t="n">
        <f aca="false">IF(OR(G150="",SUMIFS('Dados DCA'!$L$9:$L$564,'Dados DCA'!$C$9:$C$564,$C150,'Dados DCA'!$E$9:$E$564,$D150,'Dados DCA'!$F$9:$F$564,"despesa_empenhada_exceto_intra")=0),"",G150/SUMIFS('Dados DCA'!$L$9:$L$564,'Dados DCA'!$C$9:$C$564,$C150,'Dados DCA'!$E$9:$E$564,$D150,'Dados DCA'!$F$9:$F$564,"despesa_empenhada_exceto_intra"))</f>
        <v>0.385588623077983</v>
      </c>
      <c r="J150" s="12" t="s">
        <v>161</v>
      </c>
    </row>
    <row r="151" customFormat="false" ht="15" hidden="false" customHeight="false" outlineLevel="0" collapsed="false">
      <c r="C151" s="12" t="s">
        <v>6</v>
      </c>
      <c r="D151" s="16" t="n">
        <v>2018</v>
      </c>
      <c r="E151" s="12" t="s">
        <v>260</v>
      </c>
      <c r="F151" s="12" t="s">
        <v>261</v>
      </c>
      <c r="G151" s="6" t="n">
        <f aca="false">IF(COUNTIFS('Dados DCA'!$C$9:$C$564,$C151,'Dados DCA'!$E$9:$E$564,$D151,'Dados DCA'!$F$9:$F$564,"despesa_funcao_"&amp;$E151)=0,"",SUMIFS('Dados DCA'!$L$9:$L$564,'Dados DCA'!$C$9:$C$564,$C151,'Dados DCA'!$E$9:$E$564,$D151,'Dados DCA'!$F$9:$F$564,"despesa_funcao_"&amp;$E151))</f>
        <v>3289901.66</v>
      </c>
      <c r="H151" s="6" t="n">
        <f aca="false">IF(OR(G151="",SUMIFS('Cálculos Municipais'!$T$9:$T$28,'Cálculos Municipais'!$C$9:$C$28,$C151,'Cálculos Municipais'!$D$9:$D$28,$D151)=0),"",G151*SUMIFS('Cálculos Municipais'!$T$9:$T$28,'Cálculos Municipais'!$C$9:$C$28,$C151,'Cálculos Municipais'!$D$9:$D$28,$D151))</f>
        <v>4550669.34845728</v>
      </c>
      <c r="I151" s="8" t="n">
        <f aca="false">IF(OR(G151="",SUMIFS('Dados DCA'!$L$9:$L$564,'Dados DCA'!$C$9:$C$564,$C151,'Dados DCA'!$E$9:$E$564,$D151,'Dados DCA'!$F$9:$F$564,"despesa_empenhada_exceto_intra")=0),"",G151/SUMIFS('Dados DCA'!$L$9:$L$564,'Dados DCA'!$C$9:$C$564,$C151,'Dados DCA'!$E$9:$E$564,$D151,'Dados DCA'!$F$9:$F$564,"despesa_empenhada_exceto_intra"))</f>
        <v>0.0197929582397277</v>
      </c>
      <c r="J151" s="12" t="s">
        <v>161</v>
      </c>
    </row>
    <row r="152" customFormat="false" ht="15" hidden="false" customHeight="false" outlineLevel="0" collapsed="false">
      <c r="C152" s="12" t="s">
        <v>6</v>
      </c>
      <c r="D152" s="16" t="n">
        <v>2018</v>
      </c>
      <c r="E152" s="12" t="s">
        <v>262</v>
      </c>
      <c r="F152" s="12" t="s">
        <v>263</v>
      </c>
      <c r="G152" s="6" t="n">
        <f aca="false">IF(COUNTIFS('Dados DCA'!$C$9:$C$564,$C152,'Dados DCA'!$E$9:$E$564,$D152,'Dados DCA'!$F$9:$F$564,"despesa_funcao_"&amp;$E152)=0,"",SUMIFS('Dados DCA'!$L$9:$L$564,'Dados DCA'!$C$9:$C$564,$C152,'Dados DCA'!$E$9:$E$564,$D152,'Dados DCA'!$F$9:$F$564,"despesa_funcao_"&amp;$E152))</f>
        <v>12962377.54</v>
      </c>
      <c r="H152" s="6" t="n">
        <f aca="false">IF(OR(G152="",SUMIFS('Cálculos Municipais'!$T$9:$T$28,'Cálculos Municipais'!$C$9:$C$28,$C152,'Cálculos Municipais'!$D$9:$D$28,$D152)=0),"",G152*SUMIFS('Cálculos Municipais'!$T$9:$T$28,'Cálculos Municipais'!$C$9:$C$28,$C152,'Cálculos Municipais'!$D$9:$D$28,$D152))</f>
        <v>17929865.4642489</v>
      </c>
      <c r="I152" s="8" t="n">
        <f aca="false">IF(OR(G152="",SUMIFS('Dados DCA'!$L$9:$L$564,'Dados DCA'!$C$9:$C$564,$C152,'Dados DCA'!$E$9:$E$564,$D152,'Dados DCA'!$F$9:$F$564,"despesa_empenhada_exceto_intra")=0),"",G152/SUMIFS('Dados DCA'!$L$9:$L$564,'Dados DCA'!$C$9:$C$564,$C152,'Dados DCA'!$E$9:$E$564,$D152,'Dados DCA'!$F$9:$F$564,"despesa_empenhada_exceto_intra"))</f>
        <v>0.077985248147753</v>
      </c>
      <c r="J152" s="12" t="s">
        <v>161</v>
      </c>
    </row>
    <row r="153" customFormat="false" ht="15" hidden="false" customHeight="false" outlineLevel="0" collapsed="false">
      <c r="C153" s="12" t="s">
        <v>6</v>
      </c>
      <c r="D153" s="16" t="n">
        <v>2018</v>
      </c>
      <c r="E153" s="12" t="s">
        <v>264</v>
      </c>
      <c r="F153" s="12" t="s">
        <v>265</v>
      </c>
      <c r="G153" s="6" t="n">
        <f aca="false">IF(COUNTIFS('Dados DCA'!$C$9:$C$564,$C153,'Dados DCA'!$E$9:$E$564,$D153,'Dados DCA'!$F$9:$F$564,"despesa_funcao_"&amp;$E153)=0,"",SUMIFS('Dados DCA'!$L$9:$L$564,'Dados DCA'!$C$9:$C$564,$C153,'Dados DCA'!$E$9:$E$564,$D153,'Dados DCA'!$F$9:$F$564,"despesa_funcao_"&amp;$E153))</f>
        <v>1142388.3</v>
      </c>
      <c r="H153" s="6" t="n">
        <f aca="false">IF(OR(G153="",SUMIFS('Cálculos Municipais'!$T$9:$T$28,'Cálculos Municipais'!$C$9:$C$28,$C153,'Cálculos Municipais'!$D$9:$D$28,$D153)=0),"",G153*SUMIFS('Cálculos Municipais'!$T$9:$T$28,'Cálculos Municipais'!$C$9:$C$28,$C153,'Cálculos Municipais'!$D$9:$D$28,$D153))</f>
        <v>1580178.36340014</v>
      </c>
      <c r="I153" s="8" t="n">
        <f aca="false">IF(OR(G153="",SUMIFS('Dados DCA'!$L$9:$L$564,'Dados DCA'!$C$9:$C$564,$C153,'Dados DCA'!$E$9:$E$564,$D153,'Dados DCA'!$F$9:$F$564,"despesa_empenhada_exceto_intra")=0),"",G153/SUMIFS('Dados DCA'!$L$9:$L$564,'Dados DCA'!$C$9:$C$564,$C153,'Dados DCA'!$E$9:$E$564,$D153,'Dados DCA'!$F$9:$F$564,"despesa_empenhada_exceto_intra"))</f>
        <v>0.00687292395100148</v>
      </c>
      <c r="J153" s="12" t="s">
        <v>161</v>
      </c>
    </row>
    <row r="154" customFormat="false" ht="15" hidden="false" customHeight="false" outlineLevel="0" collapsed="false">
      <c r="C154" s="12" t="s">
        <v>6</v>
      </c>
      <c r="D154" s="16" t="n">
        <v>2018</v>
      </c>
      <c r="E154" s="12" t="s">
        <v>266</v>
      </c>
      <c r="F154" s="12" t="s">
        <v>267</v>
      </c>
      <c r="G154" s="6" t="n">
        <f aca="false">IF(COUNTIFS('Dados DCA'!$C$9:$C$564,$C154,'Dados DCA'!$E$9:$E$564,$D154,'Dados DCA'!$F$9:$F$564,"despesa_funcao_"&amp;$E154)=0,"",SUMIFS('Dados DCA'!$L$9:$L$564,'Dados DCA'!$C$9:$C$564,$C154,'Dados DCA'!$E$9:$E$564,$D154,'Dados DCA'!$F$9:$F$564,"despesa_funcao_"&amp;$E154))</f>
        <v>762467.18</v>
      </c>
      <c r="H154" s="6" t="n">
        <f aca="false">IF(OR(G154="",SUMIFS('Cálculos Municipais'!$T$9:$T$28,'Cálculos Municipais'!$C$9:$C$28,$C154,'Cálculos Municipais'!$D$9:$D$28,$D154)=0),"",G154*SUMIFS('Cálculos Municipais'!$T$9:$T$28,'Cálculos Municipais'!$C$9:$C$28,$C154,'Cálculos Municipais'!$D$9:$D$28,$D154))</f>
        <v>1054662.53518066</v>
      </c>
      <c r="I154" s="8" t="n">
        <f aca="false">IF(OR(G154="",SUMIFS('Dados DCA'!$L$9:$L$564,'Dados DCA'!$C$9:$C$564,$C154,'Dados DCA'!$E$9:$E$564,$D154,'Dados DCA'!$F$9:$F$564,"despesa_empenhada_exceto_intra")=0),"",G154/SUMIFS('Dados DCA'!$L$9:$L$564,'Dados DCA'!$C$9:$C$564,$C154,'Dados DCA'!$E$9:$E$564,$D154,'Dados DCA'!$F$9:$F$564,"despesa_empenhada_exceto_intra"))</f>
        <v>0.00458721342233158</v>
      </c>
      <c r="J154" s="12" t="s">
        <v>161</v>
      </c>
    </row>
    <row r="155" customFormat="false" ht="15" hidden="false" customHeight="false" outlineLevel="0" collapsed="false">
      <c r="C155" s="12" t="s">
        <v>6</v>
      </c>
      <c r="D155" s="16" t="n">
        <v>2018</v>
      </c>
      <c r="E155" s="12" t="s">
        <v>268</v>
      </c>
      <c r="F155" s="12" t="s">
        <v>269</v>
      </c>
      <c r="G155" s="6" t="n">
        <f aca="false">IF(COUNTIFS('Dados DCA'!$C$9:$C$564,$C155,'Dados DCA'!$E$9:$E$564,$D155,'Dados DCA'!$F$9:$F$564,"despesa_funcao_"&amp;$E155)=0,"",SUMIFS('Dados DCA'!$L$9:$L$564,'Dados DCA'!$C$9:$C$564,$C155,'Dados DCA'!$E$9:$E$564,$D155,'Dados DCA'!$F$9:$F$564,"despesa_funcao_"&amp;$E155))</f>
        <v>2179131.89</v>
      </c>
      <c r="H155" s="6" t="n">
        <f aca="false">IF(OR(G155="",SUMIFS('Cálculos Municipais'!$T$9:$T$28,'Cálculos Municipais'!$C$9:$C$28,$C155,'Cálculos Municipais'!$D$9:$D$28,$D155)=0),"",G155*SUMIFS('Cálculos Municipais'!$T$9:$T$28,'Cálculos Municipais'!$C$9:$C$28,$C155,'Cálculos Municipais'!$D$9:$D$28,$D155))</f>
        <v>3014226.47936193</v>
      </c>
      <c r="I155" s="8" t="n">
        <f aca="false">IF(OR(G155="",SUMIFS('Dados DCA'!$L$9:$L$564,'Dados DCA'!$C$9:$C$564,$C155,'Dados DCA'!$E$9:$E$564,$D155,'Dados DCA'!$F$9:$F$564,"despesa_empenhada_exceto_intra")=0),"",G155/SUMIFS('Dados DCA'!$L$9:$L$564,'Dados DCA'!$C$9:$C$564,$C155,'Dados DCA'!$E$9:$E$564,$D155,'Dados DCA'!$F$9:$F$564,"despesa_empenhada_exceto_intra"))</f>
        <v>0.0131102601096073</v>
      </c>
      <c r="J155" s="12" t="s">
        <v>161</v>
      </c>
    </row>
    <row r="156" customFormat="false" ht="15" hidden="false" customHeight="false" outlineLevel="0" collapsed="false">
      <c r="C156" s="12" t="s">
        <v>6</v>
      </c>
      <c r="D156" s="16" t="n">
        <v>2018</v>
      </c>
      <c r="E156" s="12" t="s">
        <v>288</v>
      </c>
      <c r="F156" s="12" t="s">
        <v>289</v>
      </c>
      <c r="G156" s="6" t="n">
        <f aca="false">IF(COUNTIFS('Dados DCA'!$C$9:$C$564,$C156,'Dados DCA'!$E$9:$E$564,$D156,'Dados DCA'!$F$9:$F$564,"despesa_funcao_"&amp;$E156)=0,"",SUMIFS('Dados DCA'!$L$9:$L$564,'Dados DCA'!$C$9:$C$564,$C156,'Dados DCA'!$E$9:$E$564,$D156,'Dados DCA'!$F$9:$F$564,"despesa_funcao_"&amp;$E156))</f>
        <v>268258.54</v>
      </c>
      <c r="H156" s="6" t="n">
        <f aca="false">IF(OR(G156="",SUMIFS('Cálculos Municipais'!$T$9:$T$28,'Cálculos Municipais'!$C$9:$C$28,$C156,'Cálculos Municipais'!$D$9:$D$28,$D156)=0),"",G156*SUMIFS('Cálculos Municipais'!$T$9:$T$28,'Cálculos Municipais'!$C$9:$C$28,$C156,'Cálculos Municipais'!$D$9:$D$28,$D156))</f>
        <v>371061.521468061</v>
      </c>
      <c r="I156" s="8" t="n">
        <f aca="false">IF(OR(G156="",SUMIFS('Dados DCA'!$L$9:$L$564,'Dados DCA'!$C$9:$C$564,$C156,'Dados DCA'!$E$9:$E$564,$D156,'Dados DCA'!$F$9:$F$564,"despesa_empenhada_exceto_intra")=0),"",G156/SUMIFS('Dados DCA'!$L$9:$L$564,'Dados DCA'!$C$9:$C$564,$C156,'Dados DCA'!$E$9:$E$564,$D156,'Dados DCA'!$F$9:$F$564,"despesa_empenhada_exceto_intra"))</f>
        <v>0.00161391756605586</v>
      </c>
      <c r="J156" s="12" t="s">
        <v>161</v>
      </c>
    </row>
    <row r="157" customFormat="false" ht="15" hidden="false" customHeight="false" outlineLevel="0" collapsed="false">
      <c r="C157" s="12" t="s">
        <v>6</v>
      </c>
      <c r="D157" s="16" t="n">
        <v>2018</v>
      </c>
      <c r="E157" s="12" t="s">
        <v>272</v>
      </c>
      <c r="F157" s="12" t="s">
        <v>273</v>
      </c>
      <c r="G157" s="6" t="n">
        <f aca="false">IF(COUNTIFS('Dados DCA'!$C$9:$C$564,$C157,'Dados DCA'!$E$9:$E$564,$D157,'Dados DCA'!$F$9:$F$564,"despesa_funcao_"&amp;$E157)=0,"",SUMIFS('Dados DCA'!$L$9:$L$564,'Dados DCA'!$C$9:$C$564,$C157,'Dados DCA'!$E$9:$E$564,$D157,'Dados DCA'!$F$9:$F$564,"despesa_funcao_"&amp;$E157))</f>
        <v>1393581.3</v>
      </c>
      <c r="H157" s="6" t="n">
        <f aca="false">IF(OR(G157="",SUMIFS('Cálculos Municipais'!$T$9:$T$28,'Cálculos Municipais'!$C$9:$C$28,$C157,'Cálculos Municipais'!$D$9:$D$28,$D157)=0),"",G157*SUMIFS('Cálculos Municipais'!$T$9:$T$28,'Cálculos Municipais'!$C$9:$C$28,$C157,'Cálculos Municipais'!$D$9:$D$28,$D157))</f>
        <v>1927634.42859056</v>
      </c>
      <c r="I157" s="8" t="n">
        <f aca="false">IF(OR(G157="",SUMIFS('Dados DCA'!$L$9:$L$564,'Dados DCA'!$C$9:$C$564,$C157,'Dados DCA'!$E$9:$E$564,$D157,'Dados DCA'!$F$9:$F$564,"despesa_empenhada_exceto_intra")=0),"",G157/SUMIFS('Dados DCA'!$L$9:$L$564,'Dados DCA'!$C$9:$C$564,$C157,'Dados DCA'!$E$9:$E$564,$D157,'Dados DCA'!$F$9:$F$564,"despesa_empenhada_exceto_intra"))</f>
        <v>0.00838417050878216</v>
      </c>
      <c r="J157" s="12" t="s">
        <v>161</v>
      </c>
    </row>
    <row r="158" customFormat="false" ht="15" hidden="false" customHeight="false" outlineLevel="0" collapsed="false">
      <c r="C158" s="12" t="s">
        <v>6</v>
      </c>
      <c r="D158" s="16" t="n">
        <v>2018</v>
      </c>
      <c r="E158" s="12" t="s">
        <v>282</v>
      </c>
      <c r="F158" s="12" t="s">
        <v>283</v>
      </c>
      <c r="G158" s="6" t="n">
        <f aca="false">IF(COUNTIFS('Dados DCA'!$C$9:$C$564,$C158,'Dados DCA'!$E$9:$E$564,$D158,'Dados DCA'!$F$9:$F$564,"despesa_funcao_"&amp;$E158)=0,"",SUMIFS('Dados DCA'!$L$9:$L$564,'Dados DCA'!$C$9:$C$564,$C158,'Dados DCA'!$E$9:$E$564,$D158,'Dados DCA'!$F$9:$F$564,"despesa_funcao_"&amp;$E158))</f>
        <v>367426.56</v>
      </c>
      <c r="H158" s="6" t="n">
        <f aca="false">IF(OR(G158="",SUMIFS('Cálculos Municipais'!$T$9:$T$28,'Cálculos Municipais'!$C$9:$C$28,$C158,'Cálculos Municipais'!$D$9:$D$28,$D158)=0),"",G158*SUMIFS('Cálculos Municipais'!$T$9:$T$28,'Cálculos Municipais'!$C$9:$C$28,$C158,'Cálculos Municipais'!$D$9:$D$28,$D158))</f>
        <v>508233.058978759</v>
      </c>
      <c r="I158" s="8" t="n">
        <f aca="false">IF(OR(G158="",SUMIFS('Dados DCA'!$L$9:$L$564,'Dados DCA'!$C$9:$C$564,$C158,'Dados DCA'!$E$9:$E$564,$D158,'Dados DCA'!$F$9:$F$564,"despesa_empenhada_exceto_intra")=0),"",G158/SUMIFS('Dados DCA'!$L$9:$L$564,'Dados DCA'!$C$9:$C$564,$C158,'Dados DCA'!$E$9:$E$564,$D158,'Dados DCA'!$F$9:$F$564,"despesa_empenhada_exceto_intra"))</f>
        <v>0.00221053980022212</v>
      </c>
      <c r="J158" s="12" t="s">
        <v>161</v>
      </c>
    </row>
    <row r="159" customFormat="false" ht="15" hidden="false" customHeight="false" outlineLevel="0" collapsed="false">
      <c r="C159" s="12" t="s">
        <v>6</v>
      </c>
      <c r="D159" s="16" t="n">
        <v>2018</v>
      </c>
      <c r="E159" s="12" t="s">
        <v>274</v>
      </c>
      <c r="F159" s="12" t="s">
        <v>275</v>
      </c>
      <c r="G159" s="6" t="n">
        <f aca="false">IF(COUNTIFS('Dados DCA'!$C$9:$C$564,$C159,'Dados DCA'!$E$9:$E$564,$D159,'Dados DCA'!$F$9:$F$564,"despesa_funcao_"&amp;$E159)=0,"",SUMIFS('Dados DCA'!$L$9:$L$564,'Dados DCA'!$C$9:$C$564,$C159,'Dados DCA'!$E$9:$E$564,$D159,'Dados DCA'!$F$9:$F$564,"despesa_funcao_"&amp;$E159))</f>
        <v>3554404.61</v>
      </c>
      <c r="H159" s="6" t="n">
        <f aca="false">IF(OR(G159="",SUMIFS('Cálculos Municipais'!$T$9:$T$28,'Cálculos Municipais'!$C$9:$C$28,$C159,'Cálculos Municipais'!$D$9:$D$28,$D159)=0),"",G159*SUMIFS('Cálculos Municipais'!$T$9:$T$28,'Cálculos Municipais'!$C$9:$C$28,$C159,'Cálculos Municipais'!$D$9:$D$28,$D159))</f>
        <v>4916536.04951287</v>
      </c>
      <c r="I159" s="8" t="n">
        <f aca="false">IF(OR(G159="",SUMIFS('Dados DCA'!$L$9:$L$564,'Dados DCA'!$C$9:$C$564,$C159,'Dados DCA'!$E$9:$E$564,$D159,'Dados DCA'!$F$9:$F$564,"despesa_empenhada_exceto_intra")=0),"",G159/SUMIFS('Dados DCA'!$L$9:$L$564,'Dados DCA'!$C$9:$C$564,$C159,'Dados DCA'!$E$9:$E$564,$D159,'Dados DCA'!$F$9:$F$564,"despesa_empenhada_exceto_intra"))</f>
        <v>0.0213842811376999</v>
      </c>
      <c r="J159" s="12" t="s">
        <v>161</v>
      </c>
    </row>
    <row r="160" customFormat="false" ht="15" hidden="false" customHeight="false" outlineLevel="0" collapsed="false">
      <c r="C160" s="12" t="s">
        <v>6</v>
      </c>
      <c r="D160" s="16" t="n">
        <v>2019</v>
      </c>
      <c r="E160" s="12" t="s">
        <v>246</v>
      </c>
      <c r="F160" s="12" t="s">
        <v>247</v>
      </c>
      <c r="G160" s="6" t="n">
        <f aca="false">IF(COUNTIFS('Dados DCA'!$C$9:$C$564,$C160,'Dados DCA'!$E$9:$E$564,$D160,'Dados DCA'!$F$9:$F$564,"despesa_funcao_"&amp;$E160)=0,"",SUMIFS('Dados DCA'!$L$9:$L$564,'Dados DCA'!$C$9:$C$564,$C160,'Dados DCA'!$E$9:$E$564,$D160,'Dados DCA'!$F$9:$F$564,"despesa_funcao_"&amp;$E160))</f>
        <v>5112046.47</v>
      </c>
      <c r="H160" s="6" t="n">
        <f aca="false">IF(OR(G160="",SUMIFS('Cálculos Municipais'!$T$9:$T$28,'Cálculos Municipais'!$C$9:$C$28,$C160,'Cálculos Municipais'!$D$9:$D$28,$D160)=0),"",G160*SUMIFS('Cálculos Municipais'!$T$9:$T$28,'Cálculos Municipais'!$C$9:$C$28,$C160,'Cálculos Municipais'!$D$9:$D$28,$D160))</f>
        <v>6816639.37669226</v>
      </c>
      <c r="I160" s="8" t="n">
        <f aca="false">IF(OR(G160="",SUMIFS('Dados DCA'!$L$9:$L$564,'Dados DCA'!$C$9:$C$564,$C160,'Dados DCA'!$E$9:$E$564,$D160,'Dados DCA'!$F$9:$F$564,"despesa_empenhada_exceto_intra")=0),"",G160/SUMIFS('Dados DCA'!$L$9:$L$564,'Dados DCA'!$C$9:$C$564,$C160,'Dados DCA'!$E$9:$E$564,$D160,'Dados DCA'!$F$9:$F$564,"despesa_empenhada_exceto_intra"))</f>
        <v>0.0305747520866775</v>
      </c>
      <c r="J160" s="12" t="s">
        <v>164</v>
      </c>
    </row>
    <row r="161" customFormat="false" ht="15" hidden="false" customHeight="false" outlineLevel="0" collapsed="false">
      <c r="C161" s="12" t="s">
        <v>6</v>
      </c>
      <c r="D161" s="16" t="n">
        <v>2019</v>
      </c>
      <c r="E161" s="12" t="s">
        <v>284</v>
      </c>
      <c r="F161" s="12" t="s">
        <v>285</v>
      </c>
      <c r="G161" s="6" t="n">
        <f aca="false">IF(COUNTIFS('Dados DCA'!$C$9:$C$564,$C161,'Dados DCA'!$E$9:$E$564,$D161,'Dados DCA'!$F$9:$F$564,"despesa_funcao_"&amp;$E161)=0,"",SUMIFS('Dados DCA'!$L$9:$L$564,'Dados DCA'!$C$9:$C$564,$C161,'Dados DCA'!$E$9:$E$564,$D161,'Dados DCA'!$F$9:$F$564,"despesa_funcao_"&amp;$E161))</f>
        <v>1111873.64</v>
      </c>
      <c r="H161" s="6" t="n">
        <f aca="false">IF(OR(G161="",SUMIFS('Cálculos Municipais'!$T$9:$T$28,'Cálculos Municipais'!$C$9:$C$28,$C161,'Cálculos Municipais'!$D$9:$D$28,$D161)=0),"",G161*SUMIFS('Cálculos Municipais'!$T$9:$T$28,'Cálculos Municipais'!$C$9:$C$28,$C161,'Cálculos Municipais'!$D$9:$D$28,$D161))</f>
        <v>1482623.77519627</v>
      </c>
      <c r="I161" s="8" t="n">
        <f aca="false">IF(OR(G161="",SUMIFS('Dados DCA'!$L$9:$L$564,'Dados DCA'!$C$9:$C$564,$C161,'Dados DCA'!$E$9:$E$564,$D161,'Dados DCA'!$F$9:$F$564,"despesa_empenhada_exceto_intra")=0),"",G161/SUMIFS('Dados DCA'!$L$9:$L$564,'Dados DCA'!$C$9:$C$564,$C161,'Dados DCA'!$E$9:$E$564,$D161,'Dados DCA'!$F$9:$F$564,"despesa_empenhada_exceto_intra"))</f>
        <v>0.00665002970810468</v>
      </c>
      <c r="J161" s="12" t="s">
        <v>164</v>
      </c>
    </row>
    <row r="162" customFormat="false" ht="15" hidden="false" customHeight="false" outlineLevel="0" collapsed="false">
      <c r="C162" s="12" t="s">
        <v>6</v>
      </c>
      <c r="D162" s="16" t="n">
        <v>2019</v>
      </c>
      <c r="E162" s="12" t="s">
        <v>248</v>
      </c>
      <c r="F162" s="12" t="s">
        <v>249</v>
      </c>
      <c r="G162" s="6" t="n">
        <f aca="false">IF(COUNTIFS('Dados DCA'!$C$9:$C$564,$C162,'Dados DCA'!$E$9:$E$564,$D162,'Dados DCA'!$F$9:$F$564,"despesa_funcao_"&amp;$E162)=0,"",SUMIFS('Dados DCA'!$L$9:$L$564,'Dados DCA'!$C$9:$C$564,$C162,'Dados DCA'!$E$9:$E$564,$D162,'Dados DCA'!$F$9:$F$564,"despesa_funcao_"&amp;$E162))</f>
        <v>13077660.8</v>
      </c>
      <c r="H162" s="6" t="n">
        <f aca="false">IF(OR(G162="",SUMIFS('Cálculos Municipais'!$T$9:$T$28,'Cálculos Municipais'!$C$9:$C$28,$C162,'Cálculos Municipais'!$D$9:$D$28,$D162)=0),"",G162*SUMIFS('Cálculos Municipais'!$T$9:$T$28,'Cálculos Municipais'!$C$9:$C$28,$C162,'Cálculos Municipais'!$D$9:$D$28,$D162))</f>
        <v>17438358.2167055</v>
      </c>
      <c r="I162" s="8" t="n">
        <f aca="false">IF(OR(G162="",SUMIFS('Dados DCA'!$L$9:$L$564,'Dados DCA'!$C$9:$C$564,$C162,'Dados DCA'!$E$9:$E$564,$D162,'Dados DCA'!$F$9:$F$564,"despesa_empenhada_exceto_intra")=0),"",G162/SUMIFS('Dados DCA'!$L$9:$L$564,'Dados DCA'!$C$9:$C$564,$C162,'Dados DCA'!$E$9:$E$564,$D162,'Dados DCA'!$F$9:$F$564,"despesa_empenhada_exceto_intra"))</f>
        <v>0.0782164714620953</v>
      </c>
      <c r="J162" s="12" t="s">
        <v>164</v>
      </c>
    </row>
    <row r="163" customFormat="false" ht="15" hidden="false" customHeight="false" outlineLevel="0" collapsed="false">
      <c r="C163" s="12" t="s">
        <v>6</v>
      </c>
      <c r="D163" s="16" t="n">
        <v>2019</v>
      </c>
      <c r="E163" s="12" t="s">
        <v>250</v>
      </c>
      <c r="F163" s="12" t="s">
        <v>251</v>
      </c>
      <c r="G163" s="6" t="n">
        <f aca="false">IF(COUNTIFS('Dados DCA'!$C$9:$C$564,$C163,'Dados DCA'!$E$9:$E$564,$D163,'Dados DCA'!$F$9:$F$564,"despesa_funcao_"&amp;$E163)=0,"",SUMIFS('Dados DCA'!$L$9:$L$564,'Dados DCA'!$C$9:$C$564,$C163,'Dados DCA'!$E$9:$E$564,$D163,'Dados DCA'!$F$9:$F$564,"despesa_funcao_"&amp;$E163))</f>
        <v>4579008.49</v>
      </c>
      <c r="H163" s="6" t="n">
        <f aca="false">IF(OR(G163="",SUMIFS('Cálculos Municipais'!$T$9:$T$28,'Cálculos Municipais'!$C$9:$C$28,$C163,'Cálculos Municipais'!$D$9:$D$28,$D163)=0),"",G163*SUMIFS('Cálculos Municipais'!$T$9:$T$28,'Cálculos Municipais'!$C$9:$C$28,$C163,'Cálculos Municipais'!$D$9:$D$28,$D163))</f>
        <v>6105861.86223424</v>
      </c>
      <c r="I163" s="8" t="n">
        <f aca="false">IF(OR(G163="",SUMIFS('Dados DCA'!$L$9:$L$564,'Dados DCA'!$C$9:$C$564,$C163,'Dados DCA'!$E$9:$E$564,$D163,'Dados DCA'!$F$9:$F$564,"despesa_empenhada_exceto_intra")=0),"",G163/SUMIFS('Dados DCA'!$L$9:$L$564,'Dados DCA'!$C$9:$C$564,$C163,'Dados DCA'!$E$9:$E$564,$D163,'Dados DCA'!$F$9:$F$564,"despesa_empenhada_exceto_intra"))</f>
        <v>0.0273866934125388</v>
      </c>
      <c r="J163" s="12" t="s">
        <v>164</v>
      </c>
    </row>
    <row r="164" customFormat="false" ht="15" hidden="false" customHeight="false" outlineLevel="0" collapsed="false">
      <c r="C164" s="12" t="s">
        <v>6</v>
      </c>
      <c r="D164" s="16" t="n">
        <v>2019</v>
      </c>
      <c r="E164" s="12" t="s">
        <v>252</v>
      </c>
      <c r="F164" s="12" t="s">
        <v>253</v>
      </c>
      <c r="G164" s="6" t="n">
        <f aca="false">IF(COUNTIFS('Dados DCA'!$C$9:$C$564,$C164,'Dados DCA'!$E$9:$E$564,$D164,'Dados DCA'!$F$9:$F$564,"despesa_funcao_"&amp;$E164)=0,"",SUMIFS('Dados DCA'!$L$9:$L$564,'Dados DCA'!$C$9:$C$564,$C164,'Dados DCA'!$E$9:$E$564,$D164,'Dados DCA'!$F$9:$F$564,"despesa_funcao_"&amp;$E164))</f>
        <v>17830015.31</v>
      </c>
      <c r="H164" s="6" t="n">
        <f aca="false">IF(OR(G164="",SUMIFS('Cálculos Municipais'!$T$9:$T$28,'Cálculos Municipais'!$C$9:$C$28,$C164,'Cálculos Municipais'!$D$9:$D$28,$D164)=0),"",G164*SUMIFS('Cálculos Municipais'!$T$9:$T$28,'Cálculos Municipais'!$C$9:$C$28,$C164,'Cálculos Municipais'!$D$9:$D$28,$D164))</f>
        <v>23775367.6854138</v>
      </c>
      <c r="I164" s="8" t="n">
        <f aca="false">IF(OR(G164="",SUMIFS('Dados DCA'!$L$9:$L$564,'Dados DCA'!$C$9:$C$564,$C164,'Dados DCA'!$E$9:$E$564,$D164,'Dados DCA'!$F$9:$F$564,"despesa_empenhada_exceto_intra")=0),"",G164/SUMIFS('Dados DCA'!$L$9:$L$564,'Dados DCA'!$C$9:$C$564,$C164,'Dados DCA'!$E$9:$E$564,$D164,'Dados DCA'!$F$9:$F$564,"despesa_empenhada_exceto_intra"))</f>
        <v>0.106639933929418</v>
      </c>
      <c r="J164" s="12" t="s">
        <v>164</v>
      </c>
    </row>
    <row r="165" customFormat="false" ht="15" hidden="false" customHeight="false" outlineLevel="0" collapsed="false">
      <c r="C165" s="12" t="s">
        <v>6</v>
      </c>
      <c r="D165" s="16" t="n">
        <v>2019</v>
      </c>
      <c r="E165" s="12" t="s">
        <v>254</v>
      </c>
      <c r="F165" s="12" t="s">
        <v>255</v>
      </c>
      <c r="G165" s="6" t="n">
        <f aca="false">IF(COUNTIFS('Dados DCA'!$C$9:$C$564,$C165,'Dados DCA'!$E$9:$E$564,$D165,'Dados DCA'!$F$9:$F$564,"despesa_funcao_"&amp;$E165)=0,"",SUMIFS('Dados DCA'!$L$9:$L$564,'Dados DCA'!$C$9:$C$564,$C165,'Dados DCA'!$E$9:$E$564,$D165,'Dados DCA'!$F$9:$F$564,"despesa_funcao_"&amp;$E165))</f>
        <v>35046461.54</v>
      </c>
      <c r="H165" s="6" t="n">
        <f aca="false">IF(OR(G165="",SUMIFS('Cálculos Municipais'!$T$9:$T$28,'Cálculos Municipais'!$C$9:$C$28,$C165,'Cálculos Municipais'!$D$9:$D$28,$D165)=0),"",G165*SUMIFS('Cálculos Municipais'!$T$9:$T$28,'Cálculos Municipais'!$C$9:$C$28,$C165,'Cálculos Municipais'!$D$9:$D$28,$D165))</f>
        <v>46732573.9602079</v>
      </c>
      <c r="I165" s="8" t="n">
        <f aca="false">IF(OR(G165="",SUMIFS('Dados DCA'!$L$9:$L$564,'Dados DCA'!$C$9:$C$564,$C165,'Dados DCA'!$E$9:$E$564,$D165,'Dados DCA'!$F$9:$F$564,"despesa_empenhada_exceto_intra")=0),"",G165/SUMIFS('Dados DCA'!$L$9:$L$564,'Dados DCA'!$C$9:$C$564,$C165,'Dados DCA'!$E$9:$E$564,$D165,'Dados DCA'!$F$9:$F$564,"despesa_empenhada_exceto_intra"))</f>
        <v>0.209610158943015</v>
      </c>
      <c r="J165" s="12" t="s">
        <v>164</v>
      </c>
    </row>
    <row r="166" customFormat="false" ht="15" hidden="false" customHeight="false" outlineLevel="0" collapsed="false">
      <c r="C166" s="12" t="s">
        <v>6</v>
      </c>
      <c r="D166" s="16" t="n">
        <v>2019</v>
      </c>
      <c r="E166" s="12" t="s">
        <v>258</v>
      </c>
      <c r="F166" s="12" t="s">
        <v>259</v>
      </c>
      <c r="G166" s="6" t="n">
        <f aca="false">IF(COUNTIFS('Dados DCA'!$C$9:$C$564,$C166,'Dados DCA'!$E$9:$E$564,$D166,'Dados DCA'!$F$9:$F$564,"despesa_funcao_"&amp;$E166)=0,"",SUMIFS('Dados DCA'!$L$9:$L$564,'Dados DCA'!$C$9:$C$564,$C166,'Dados DCA'!$E$9:$E$564,$D166,'Dados DCA'!$F$9:$F$564,"despesa_funcao_"&amp;$E166))</f>
        <v>64921889.3</v>
      </c>
      <c r="H166" s="6" t="n">
        <f aca="false">IF(OR(G166="",SUMIFS('Cálculos Municipais'!$T$9:$T$28,'Cálculos Municipais'!$C$9:$C$28,$C166,'Cálculos Municipais'!$D$9:$D$28,$D166)=0),"",G166*SUMIFS('Cálculos Municipais'!$T$9:$T$28,'Cálculos Municipais'!$C$9:$C$28,$C166,'Cálculos Municipais'!$D$9:$D$28,$D166))</f>
        <v>86569852.1343129</v>
      </c>
      <c r="I166" s="8" t="n">
        <f aca="false">IF(OR(G166="",SUMIFS('Dados DCA'!$L$9:$L$564,'Dados DCA'!$C$9:$C$564,$C166,'Dados DCA'!$E$9:$E$564,$D166,'Dados DCA'!$F$9:$F$564,"despesa_empenhada_exceto_intra")=0),"",G166/SUMIFS('Dados DCA'!$L$9:$L$564,'Dados DCA'!$C$9:$C$564,$C166,'Dados DCA'!$E$9:$E$564,$D166,'Dados DCA'!$F$9:$F$564,"despesa_empenhada_exceto_intra"))</f>
        <v>0.388292767288991</v>
      </c>
      <c r="J166" s="12" t="s">
        <v>164</v>
      </c>
    </row>
    <row r="167" customFormat="false" ht="15" hidden="false" customHeight="false" outlineLevel="0" collapsed="false">
      <c r="C167" s="12" t="s">
        <v>6</v>
      </c>
      <c r="D167" s="16" t="n">
        <v>2019</v>
      </c>
      <c r="E167" s="12" t="s">
        <v>260</v>
      </c>
      <c r="F167" s="12" t="s">
        <v>261</v>
      </c>
      <c r="G167" s="6" t="n">
        <f aca="false">IF(COUNTIFS('Dados DCA'!$C$9:$C$564,$C167,'Dados DCA'!$E$9:$E$564,$D167,'Dados DCA'!$F$9:$F$564,"despesa_funcao_"&amp;$E167)=0,"",SUMIFS('Dados DCA'!$L$9:$L$564,'Dados DCA'!$C$9:$C$564,$C167,'Dados DCA'!$E$9:$E$564,$D167,'Dados DCA'!$F$9:$F$564,"despesa_funcao_"&amp;$E167))</f>
        <v>3700640.09</v>
      </c>
      <c r="H167" s="6" t="n">
        <f aca="false">IF(OR(G167="",SUMIFS('Cálculos Municipais'!$T$9:$T$28,'Cálculos Municipais'!$C$9:$C$28,$C167,'Cálculos Municipais'!$D$9:$D$28,$D167)=0),"",G167*SUMIFS('Cálculos Municipais'!$T$9:$T$28,'Cálculos Municipais'!$C$9:$C$28,$C167,'Cálculos Municipais'!$D$9:$D$28,$D167))</f>
        <v>4934604.78195927</v>
      </c>
      <c r="I167" s="8" t="n">
        <f aca="false">IF(OR(G167="",SUMIFS('Dados DCA'!$L$9:$L$564,'Dados DCA'!$C$9:$C$564,$C167,'Dados DCA'!$E$9:$E$564,$D167,'Dados DCA'!$F$9:$F$564,"despesa_empenhada_exceto_intra")=0),"",G167/SUMIFS('Dados DCA'!$L$9:$L$564,'Dados DCA'!$C$9:$C$564,$C167,'Dados DCA'!$E$9:$E$564,$D167,'Dados DCA'!$F$9:$F$564,"despesa_empenhada_exceto_intra"))</f>
        <v>0.0221332403720833</v>
      </c>
      <c r="J167" s="12" t="s">
        <v>164</v>
      </c>
    </row>
    <row r="168" customFormat="false" ht="15" hidden="false" customHeight="false" outlineLevel="0" collapsed="false">
      <c r="C168" s="12" t="s">
        <v>6</v>
      </c>
      <c r="D168" s="16" t="n">
        <v>2019</v>
      </c>
      <c r="E168" s="12" t="s">
        <v>262</v>
      </c>
      <c r="F168" s="12" t="s">
        <v>263</v>
      </c>
      <c r="G168" s="6" t="n">
        <f aca="false">IF(COUNTIFS('Dados DCA'!$C$9:$C$564,$C168,'Dados DCA'!$E$9:$E$564,$D168,'Dados DCA'!$F$9:$F$564,"despesa_funcao_"&amp;$E168)=0,"",SUMIFS('Dados DCA'!$L$9:$L$564,'Dados DCA'!$C$9:$C$564,$C168,'Dados DCA'!$E$9:$E$564,$D168,'Dados DCA'!$F$9:$F$564,"despesa_funcao_"&amp;$E168))</f>
        <v>11626016.68</v>
      </c>
      <c r="H168" s="6" t="n">
        <f aca="false">IF(OR(G168="",SUMIFS('Cálculos Municipais'!$T$9:$T$28,'Cálculos Municipais'!$C$9:$C$28,$C168,'Cálculos Municipais'!$D$9:$D$28,$D168)=0),"",G168*SUMIFS('Cálculos Municipais'!$T$9:$T$28,'Cálculos Municipais'!$C$9:$C$28,$C168,'Cálculos Municipais'!$D$9:$D$28,$D168))</f>
        <v>15502668.7570328</v>
      </c>
      <c r="I168" s="8" t="n">
        <f aca="false">IF(OR(G168="",SUMIFS('Dados DCA'!$L$9:$L$564,'Dados DCA'!$C$9:$C$564,$C168,'Dados DCA'!$E$9:$E$564,$D168,'Dados DCA'!$F$9:$F$564,"despesa_empenhada_exceto_intra")=0),"",G168/SUMIFS('Dados DCA'!$L$9:$L$564,'Dados DCA'!$C$9:$C$564,$C168,'Dados DCA'!$E$9:$E$564,$D168,'Dados DCA'!$F$9:$F$564,"despesa_empenhada_exceto_intra"))</f>
        <v>0.0695343009561056</v>
      </c>
      <c r="J168" s="12" t="s">
        <v>164</v>
      </c>
    </row>
    <row r="169" customFormat="false" ht="15" hidden="false" customHeight="false" outlineLevel="0" collapsed="false">
      <c r="C169" s="12" t="s">
        <v>6</v>
      </c>
      <c r="D169" s="16" t="n">
        <v>2019</v>
      </c>
      <c r="E169" s="12" t="s">
        <v>264</v>
      </c>
      <c r="F169" s="12" t="s">
        <v>265</v>
      </c>
      <c r="G169" s="6" t="n">
        <f aca="false">IF(COUNTIFS('Dados DCA'!$C$9:$C$564,$C169,'Dados DCA'!$E$9:$E$564,$D169,'Dados DCA'!$F$9:$F$564,"despesa_funcao_"&amp;$E169)=0,"",SUMIFS('Dados DCA'!$L$9:$L$564,'Dados DCA'!$C$9:$C$564,$C169,'Dados DCA'!$E$9:$E$564,$D169,'Dados DCA'!$F$9:$F$564,"despesa_funcao_"&amp;$E169))</f>
        <v>1370368.54</v>
      </c>
      <c r="H169" s="6" t="n">
        <f aca="false">IF(OR(G169="",SUMIFS('Cálculos Municipais'!$T$9:$T$28,'Cálculos Municipais'!$C$9:$C$28,$C169,'Cálculos Municipais'!$D$9:$D$28,$D169)=0),"",G169*SUMIFS('Cálculos Municipais'!$T$9:$T$28,'Cálculos Municipais'!$C$9:$C$28,$C169,'Cálculos Municipais'!$D$9:$D$28,$D169))</f>
        <v>1827312.83942031</v>
      </c>
      <c r="I169" s="8" t="n">
        <f aca="false">IF(OR(G169="",SUMIFS('Dados DCA'!$L$9:$L$564,'Dados DCA'!$C$9:$C$564,$C169,'Dados DCA'!$E$9:$E$564,$D169,'Dados DCA'!$F$9:$F$564,"despesa_empenhada_exceto_intra")=0),"",G169/SUMIFS('Dados DCA'!$L$9:$L$564,'Dados DCA'!$C$9:$C$564,$C169,'Dados DCA'!$E$9:$E$564,$D169,'Dados DCA'!$F$9:$F$564,"despesa_empenhada_exceto_intra"))</f>
        <v>0.00819606758736725</v>
      </c>
      <c r="J169" s="12" t="s">
        <v>164</v>
      </c>
    </row>
    <row r="170" customFormat="false" ht="15" hidden="false" customHeight="false" outlineLevel="0" collapsed="false">
      <c r="C170" s="12" t="s">
        <v>6</v>
      </c>
      <c r="D170" s="16" t="n">
        <v>2019</v>
      </c>
      <c r="E170" s="12" t="s">
        <v>266</v>
      </c>
      <c r="F170" s="12" t="s">
        <v>267</v>
      </c>
      <c r="G170" s="6" t="n">
        <f aca="false">IF(COUNTIFS('Dados DCA'!$C$9:$C$564,$C170,'Dados DCA'!$E$9:$E$564,$D170,'Dados DCA'!$F$9:$F$564,"despesa_funcao_"&amp;$E170)=0,"",SUMIFS('Dados DCA'!$L$9:$L$564,'Dados DCA'!$C$9:$C$564,$C170,'Dados DCA'!$E$9:$E$564,$D170,'Dados DCA'!$F$9:$F$564,"despesa_funcao_"&amp;$E170))</f>
        <v>889925.01</v>
      </c>
      <c r="H170" s="6" t="n">
        <f aca="false">IF(OR(G170="",SUMIFS('Cálculos Municipais'!$T$9:$T$28,'Cálculos Municipais'!$C$9:$C$28,$C170,'Cálculos Municipais'!$D$9:$D$28,$D170)=0),"",G170*SUMIFS('Cálculos Municipais'!$T$9:$T$28,'Cálculos Municipais'!$C$9:$C$28,$C170,'Cálculos Municipais'!$D$9:$D$28,$D170))</f>
        <v>1186667.19895237</v>
      </c>
      <c r="I170" s="8" t="n">
        <f aca="false">IF(OR(G170="",SUMIFS('Dados DCA'!$L$9:$L$564,'Dados DCA'!$C$9:$C$564,$C170,'Dados DCA'!$E$9:$E$564,$D170,'Dados DCA'!$F$9:$F$564,"despesa_empenhada_exceto_intra")=0),"",G170/SUMIFS('Dados DCA'!$L$9:$L$564,'Dados DCA'!$C$9:$C$564,$C170,'Dados DCA'!$E$9:$E$564,$D170,'Dados DCA'!$F$9:$F$564,"despesa_empenhada_exceto_intra"))</f>
        <v>0.00532257222546022</v>
      </c>
      <c r="J170" s="12" t="s">
        <v>164</v>
      </c>
    </row>
    <row r="171" customFormat="false" ht="15" hidden="false" customHeight="false" outlineLevel="0" collapsed="false">
      <c r="C171" s="12" t="s">
        <v>6</v>
      </c>
      <c r="D171" s="16" t="n">
        <v>2019</v>
      </c>
      <c r="E171" s="12" t="s">
        <v>268</v>
      </c>
      <c r="F171" s="12" t="s">
        <v>269</v>
      </c>
      <c r="G171" s="6" t="n">
        <f aca="false">IF(COUNTIFS('Dados DCA'!$C$9:$C$564,$C171,'Dados DCA'!$E$9:$E$564,$D171,'Dados DCA'!$F$9:$F$564,"despesa_funcao_"&amp;$E171)=0,"",SUMIFS('Dados DCA'!$L$9:$L$564,'Dados DCA'!$C$9:$C$564,$C171,'Dados DCA'!$E$9:$E$564,$D171,'Dados DCA'!$F$9:$F$564,"despesa_funcao_"&amp;$E171))</f>
        <v>2296134.32</v>
      </c>
      <c r="H171" s="6" t="n">
        <f aca="false">IF(OR(G171="",SUMIFS('Cálculos Municipais'!$T$9:$T$28,'Cálculos Municipais'!$C$9:$C$28,$C171,'Cálculos Municipais'!$D$9:$D$28,$D171)=0),"",G171*SUMIFS('Cálculos Municipais'!$T$9:$T$28,'Cálculos Municipais'!$C$9:$C$28,$C171,'Cálculos Municipais'!$D$9:$D$28,$D171))</f>
        <v>3061771.77999841</v>
      </c>
      <c r="I171" s="8" t="n">
        <f aca="false">IF(OR(G171="",SUMIFS('Dados DCA'!$L$9:$L$564,'Dados DCA'!$C$9:$C$564,$C171,'Dados DCA'!$E$9:$E$564,$D171,'Dados DCA'!$F$9:$F$564,"despesa_empenhada_exceto_intra")=0),"",G171/SUMIFS('Dados DCA'!$L$9:$L$564,'Dados DCA'!$C$9:$C$564,$C171,'Dados DCA'!$E$9:$E$564,$D171,'Dados DCA'!$F$9:$F$564,"despesa_empenhada_exceto_intra"))</f>
        <v>0.0137330006688519</v>
      </c>
      <c r="J171" s="12" t="s">
        <v>164</v>
      </c>
    </row>
    <row r="172" customFormat="false" ht="15" hidden="false" customHeight="false" outlineLevel="0" collapsed="false">
      <c r="C172" s="12" t="s">
        <v>6</v>
      </c>
      <c r="D172" s="16" t="n">
        <v>2019</v>
      </c>
      <c r="E172" s="12" t="s">
        <v>270</v>
      </c>
      <c r="F172" s="12" t="s">
        <v>271</v>
      </c>
      <c r="G172" s="6" t="n">
        <f aca="false">IF(COUNTIFS('Dados DCA'!$C$9:$C$564,$C172,'Dados DCA'!$E$9:$E$564,$D172,'Dados DCA'!$F$9:$F$564,"despesa_funcao_"&amp;$E172)=0,"",SUMIFS('Dados DCA'!$L$9:$L$564,'Dados DCA'!$C$9:$C$564,$C172,'Dados DCA'!$E$9:$E$564,$D172,'Dados DCA'!$F$9:$F$564,"despesa_funcao_"&amp;$E172))</f>
        <v>40473.77</v>
      </c>
      <c r="H172" s="6" t="n">
        <f aca="false">IF(OR(G172="",SUMIFS('Cálculos Municipais'!$T$9:$T$28,'Cálculos Municipais'!$C$9:$C$28,$C172,'Cálculos Municipais'!$D$9:$D$28,$D172)=0),"",G172*SUMIFS('Cálculos Municipais'!$T$9:$T$28,'Cálculos Municipais'!$C$9:$C$28,$C172,'Cálculos Municipais'!$D$9:$D$28,$D172))</f>
        <v>53969.598266423</v>
      </c>
      <c r="I172" s="8" t="n">
        <f aca="false">IF(OR(G172="",SUMIFS('Dados DCA'!$L$9:$L$564,'Dados DCA'!$C$9:$C$564,$C172,'Dados DCA'!$E$9:$E$564,$D172,'Dados DCA'!$F$9:$F$564,"despesa_empenhada_exceto_intra")=0),"",G172/SUMIFS('Dados DCA'!$L$9:$L$564,'Dados DCA'!$C$9:$C$564,$C172,'Dados DCA'!$E$9:$E$564,$D172,'Dados DCA'!$F$9:$F$564,"despesa_empenhada_exceto_intra"))</f>
        <v>0.000242070468456286</v>
      </c>
      <c r="J172" s="12" t="s">
        <v>164</v>
      </c>
    </row>
    <row r="173" customFormat="false" ht="15" hidden="false" customHeight="false" outlineLevel="0" collapsed="false">
      <c r="C173" s="12" t="s">
        <v>6</v>
      </c>
      <c r="D173" s="16" t="n">
        <v>2019</v>
      </c>
      <c r="E173" s="12" t="s">
        <v>288</v>
      </c>
      <c r="F173" s="12" t="s">
        <v>289</v>
      </c>
      <c r="G173" s="6" t="n">
        <f aca="false">IF(COUNTIFS('Dados DCA'!$C$9:$C$564,$C173,'Dados DCA'!$E$9:$E$564,$D173,'Dados DCA'!$F$9:$F$564,"despesa_funcao_"&amp;$E173)=0,"",SUMIFS('Dados DCA'!$L$9:$L$564,'Dados DCA'!$C$9:$C$564,$C173,'Dados DCA'!$E$9:$E$564,$D173,'Dados DCA'!$F$9:$F$564,"despesa_funcao_"&amp;$E173))</f>
        <v>296659.36</v>
      </c>
      <c r="H173" s="6" t="n">
        <f aca="false">IF(OR(G173="",SUMIFS('Cálculos Municipais'!$T$9:$T$28,'Cálculos Municipais'!$C$9:$C$28,$C173,'Cálculos Municipais'!$D$9:$D$28,$D173)=0),"",G173*SUMIFS('Cálculos Municipais'!$T$9:$T$28,'Cálculos Municipais'!$C$9:$C$28,$C173,'Cálculos Municipais'!$D$9:$D$28,$D173))</f>
        <v>395579.321648914</v>
      </c>
      <c r="I173" s="8" t="n">
        <f aca="false">IF(OR(G173="",SUMIFS('Dados DCA'!$L$9:$L$564,'Dados DCA'!$C$9:$C$564,$C173,'Dados DCA'!$E$9:$E$564,$D173,'Dados DCA'!$F$9:$F$564,"despesa_empenhada_exceto_intra")=0),"",G173/SUMIFS('Dados DCA'!$L$9:$L$564,'Dados DCA'!$C$9:$C$564,$C173,'Dados DCA'!$E$9:$E$564,$D173,'Dados DCA'!$F$9:$F$564,"despesa_empenhada_exceto_intra"))</f>
        <v>0.00177429654433333</v>
      </c>
      <c r="J173" s="12" t="s">
        <v>164</v>
      </c>
    </row>
    <row r="174" customFormat="false" ht="15" hidden="false" customHeight="false" outlineLevel="0" collapsed="false">
      <c r="C174" s="12" t="s">
        <v>6</v>
      </c>
      <c r="D174" s="16" t="n">
        <v>2019</v>
      </c>
      <c r="E174" s="12" t="s">
        <v>272</v>
      </c>
      <c r="F174" s="12" t="s">
        <v>273</v>
      </c>
      <c r="G174" s="6" t="n">
        <f aca="false">IF(COUNTIFS('Dados DCA'!$C$9:$C$564,$C174,'Dados DCA'!$E$9:$E$564,$D174,'Dados DCA'!$F$9:$F$564,"despesa_funcao_"&amp;$E174)=0,"",SUMIFS('Dados DCA'!$L$9:$L$564,'Dados DCA'!$C$9:$C$564,$C174,'Dados DCA'!$E$9:$E$564,$D174,'Dados DCA'!$F$9:$F$564,"despesa_funcao_"&amp;$E174))</f>
        <v>1236841.61</v>
      </c>
      <c r="H174" s="6" t="n">
        <f aca="false">IF(OR(G174="",SUMIFS('Cálculos Municipais'!$T$9:$T$28,'Cálculos Municipais'!$C$9:$C$28,$C174,'Cálculos Municipais'!$D$9:$D$28,$D174)=0),"",G174*SUMIFS('Cálculos Municipais'!$T$9:$T$28,'Cálculos Municipais'!$C$9:$C$28,$C174,'Cálculos Municipais'!$D$9:$D$28,$D174))</f>
        <v>1649261.85059845</v>
      </c>
      <c r="I174" s="8" t="n">
        <f aca="false">IF(OR(G174="",SUMIFS('Dados DCA'!$L$9:$L$564,'Dados DCA'!$C$9:$C$564,$C174,'Dados DCA'!$E$9:$E$564,$D174,'Dados DCA'!$F$9:$F$564,"despesa_empenhada_exceto_intra")=0),"",G174/SUMIFS('Dados DCA'!$L$9:$L$564,'Dados DCA'!$C$9:$C$564,$C174,'Dados DCA'!$E$9:$E$564,$D174,'Dados DCA'!$F$9:$F$564,"despesa_empenhada_exceto_intra"))</f>
        <v>0.007397453410911</v>
      </c>
      <c r="J174" s="12" t="s">
        <v>164</v>
      </c>
    </row>
    <row r="175" customFormat="false" ht="15" hidden="false" customHeight="false" outlineLevel="0" collapsed="false">
      <c r="C175" s="12" t="s">
        <v>6</v>
      </c>
      <c r="D175" s="16" t="n">
        <v>2019</v>
      </c>
      <c r="E175" s="12" t="s">
        <v>282</v>
      </c>
      <c r="F175" s="12" t="s">
        <v>283</v>
      </c>
      <c r="G175" s="6" t="n">
        <f aca="false">IF(COUNTIFS('Dados DCA'!$C$9:$C$564,$C175,'Dados DCA'!$E$9:$E$564,$D175,'Dados DCA'!$F$9:$F$564,"despesa_funcao_"&amp;$E175)=0,"",SUMIFS('Dados DCA'!$L$9:$L$564,'Dados DCA'!$C$9:$C$564,$C175,'Dados DCA'!$E$9:$E$564,$D175,'Dados DCA'!$F$9:$F$564,"despesa_funcao_"&amp;$E175))</f>
        <v>485115.71</v>
      </c>
      <c r="H175" s="6" t="n">
        <f aca="false">IF(OR(G175="",SUMIFS('Cálculos Municipais'!$T$9:$T$28,'Cálculos Municipais'!$C$9:$C$28,$C175,'Cálculos Municipais'!$D$9:$D$28,$D175)=0),"",G175*SUMIFS('Cálculos Municipais'!$T$9:$T$28,'Cálculos Municipais'!$C$9:$C$28,$C175,'Cálculos Municipais'!$D$9:$D$28,$D175))</f>
        <v>646875.741534099</v>
      </c>
      <c r="I175" s="8" t="n">
        <f aca="false">IF(OR(G175="",SUMIFS('Dados DCA'!$L$9:$L$564,'Dados DCA'!$C$9:$C$564,$C175,'Dados DCA'!$E$9:$E$564,$D175,'Dados DCA'!$F$9:$F$564,"despesa_empenhada_exceto_intra")=0),"",G175/SUMIFS('Dados DCA'!$L$9:$L$564,'Dados DCA'!$C$9:$C$564,$C175,'Dados DCA'!$E$9:$E$564,$D175,'Dados DCA'!$F$9:$F$564,"despesa_empenhada_exceto_intra"))</f>
        <v>0.0029014393068697</v>
      </c>
      <c r="J175" s="12" t="s">
        <v>164</v>
      </c>
    </row>
    <row r="176" customFormat="false" ht="15" hidden="false" customHeight="false" outlineLevel="0" collapsed="false">
      <c r="C176" s="12" t="s">
        <v>6</v>
      </c>
      <c r="D176" s="16" t="n">
        <v>2019</v>
      </c>
      <c r="E176" s="12" t="s">
        <v>274</v>
      </c>
      <c r="F176" s="12" t="s">
        <v>275</v>
      </c>
      <c r="G176" s="6" t="n">
        <f aca="false">IF(COUNTIFS('Dados DCA'!$C$9:$C$564,$C176,'Dados DCA'!$E$9:$E$564,$D176,'Dados DCA'!$F$9:$F$564,"despesa_funcao_"&amp;$E176)=0,"",SUMIFS('Dados DCA'!$L$9:$L$564,'Dados DCA'!$C$9:$C$564,$C176,'Dados DCA'!$E$9:$E$564,$D176,'Dados DCA'!$F$9:$F$564,"despesa_funcao_"&amp;$E176))</f>
        <v>3577166.03</v>
      </c>
      <c r="H176" s="6" t="n">
        <f aca="false">IF(OR(G176="",SUMIFS('Cálculos Municipais'!$T$9:$T$28,'Cálculos Municipais'!$C$9:$C$28,$C176,'Cálculos Municipais'!$D$9:$D$28,$D176)=0),"",G176*SUMIFS('Cálculos Municipais'!$T$9:$T$28,'Cálculos Municipais'!$C$9:$C$28,$C176,'Cálculos Municipais'!$D$9:$D$28,$D176))</f>
        <v>4769958.75529745</v>
      </c>
      <c r="I176" s="8" t="n">
        <f aca="false">IF(OR(G176="",SUMIFS('Dados DCA'!$L$9:$L$564,'Dados DCA'!$C$9:$C$564,$C176,'Dados DCA'!$E$9:$E$564,$D176,'Dados DCA'!$F$9:$F$564,"despesa_empenhada_exceto_intra")=0),"",G176/SUMIFS('Dados DCA'!$L$9:$L$564,'Dados DCA'!$C$9:$C$564,$C176,'Dados DCA'!$E$9:$E$564,$D176,'Dados DCA'!$F$9:$F$564,"despesa_empenhada_exceto_intra"))</f>
        <v>0.0213947516287218</v>
      </c>
      <c r="J176" s="12" t="s">
        <v>164</v>
      </c>
    </row>
    <row r="177" customFormat="false" ht="15" hidden="false" customHeight="false" outlineLevel="0" collapsed="false">
      <c r="C177" s="12" t="s">
        <v>6</v>
      </c>
      <c r="D177" s="16" t="n">
        <v>2020</v>
      </c>
      <c r="E177" s="12" t="s">
        <v>246</v>
      </c>
      <c r="F177" s="12" t="s">
        <v>247</v>
      </c>
      <c r="G177" s="6" t="n">
        <f aca="false">IF(COUNTIFS('Dados DCA'!$C$9:$C$564,$C177,'Dados DCA'!$E$9:$E$564,$D177,'Dados DCA'!$F$9:$F$564,"despesa_funcao_"&amp;$E177)=0,"",SUMIFS('Dados DCA'!$L$9:$L$564,'Dados DCA'!$C$9:$C$564,$C177,'Dados DCA'!$E$9:$E$564,$D177,'Dados DCA'!$F$9:$F$564,"despesa_funcao_"&amp;$E177))</f>
        <v>5373990.49</v>
      </c>
      <c r="H177" s="6" t="n">
        <f aca="false">IF(OR(G177="",SUMIFS('Cálculos Municipais'!$T$9:$T$28,'Cálculos Municipais'!$C$9:$C$28,$C177,'Cálculos Municipais'!$D$9:$D$28,$D177)=0),"",G177*SUMIFS('Cálculos Municipais'!$T$9:$T$28,'Cálculos Municipais'!$C$9:$C$28,$C177,'Cálculos Municipais'!$D$9:$D$28,$D177))</f>
        <v>6942936.63734921</v>
      </c>
      <c r="I177" s="8" t="n">
        <f aca="false">IF(OR(G177="",SUMIFS('Dados DCA'!$L$9:$L$564,'Dados DCA'!$C$9:$C$564,$C177,'Dados DCA'!$E$9:$E$564,$D177,'Dados DCA'!$F$9:$F$564,"despesa_empenhada_exceto_intra")=0),"",G177/SUMIFS('Dados DCA'!$L$9:$L$564,'Dados DCA'!$C$9:$C$564,$C177,'Dados DCA'!$E$9:$E$564,$D177,'Dados DCA'!$F$9:$F$564,"despesa_empenhada_exceto_intra"))</f>
        <v>0.0297732716503295</v>
      </c>
      <c r="J177" s="12" t="s">
        <v>165</v>
      </c>
    </row>
    <row r="178" customFormat="false" ht="15" hidden="false" customHeight="false" outlineLevel="0" collapsed="false">
      <c r="C178" s="12" t="s">
        <v>6</v>
      </c>
      <c r="D178" s="16" t="n">
        <v>2020</v>
      </c>
      <c r="E178" s="12" t="s">
        <v>284</v>
      </c>
      <c r="F178" s="12" t="s">
        <v>285</v>
      </c>
      <c r="G178" s="6" t="n">
        <f aca="false">IF(COUNTIFS('Dados DCA'!$C$9:$C$564,$C178,'Dados DCA'!$E$9:$E$564,$D178,'Dados DCA'!$F$9:$F$564,"despesa_funcao_"&amp;$E178)=0,"",SUMIFS('Dados DCA'!$L$9:$L$564,'Dados DCA'!$C$9:$C$564,$C178,'Dados DCA'!$E$9:$E$564,$D178,'Dados DCA'!$F$9:$F$564,"despesa_funcao_"&amp;$E178))</f>
        <v>823772.92</v>
      </c>
      <c r="H178" s="6" t="n">
        <f aca="false">IF(OR(G178="",SUMIFS('Cálculos Municipais'!$T$9:$T$28,'Cálculos Municipais'!$C$9:$C$28,$C178,'Cálculos Municipais'!$D$9:$D$28,$D178)=0),"",G178*SUMIFS('Cálculos Municipais'!$T$9:$T$28,'Cálculos Municipais'!$C$9:$C$28,$C178,'Cálculos Municipais'!$D$9:$D$28,$D178))</f>
        <v>1064274.89921445</v>
      </c>
      <c r="I178" s="8" t="n">
        <f aca="false">IF(OR(G178="",SUMIFS('Dados DCA'!$L$9:$L$564,'Dados DCA'!$C$9:$C$564,$C178,'Dados DCA'!$E$9:$E$564,$D178,'Dados DCA'!$F$9:$F$564,"despesa_empenhada_exceto_intra")=0),"",G178/SUMIFS('Dados DCA'!$L$9:$L$564,'Dados DCA'!$C$9:$C$564,$C178,'Dados DCA'!$E$9:$E$564,$D178,'Dados DCA'!$F$9:$F$564,"despesa_empenhada_exceto_intra"))</f>
        <v>0.00456391111427984</v>
      </c>
      <c r="J178" s="12" t="s">
        <v>165</v>
      </c>
    </row>
    <row r="179" customFormat="false" ht="15" hidden="false" customHeight="false" outlineLevel="0" collapsed="false">
      <c r="C179" s="12" t="s">
        <v>6</v>
      </c>
      <c r="D179" s="16" t="n">
        <v>2020</v>
      </c>
      <c r="E179" s="12" t="s">
        <v>248</v>
      </c>
      <c r="F179" s="12" t="s">
        <v>249</v>
      </c>
      <c r="G179" s="6" t="n">
        <f aca="false">IF(COUNTIFS('Dados DCA'!$C$9:$C$564,$C179,'Dados DCA'!$E$9:$E$564,$D179,'Dados DCA'!$F$9:$F$564,"despesa_funcao_"&amp;$E179)=0,"",SUMIFS('Dados DCA'!$L$9:$L$564,'Dados DCA'!$C$9:$C$564,$C179,'Dados DCA'!$E$9:$E$564,$D179,'Dados DCA'!$F$9:$F$564,"despesa_funcao_"&amp;$E179))</f>
        <v>13669332.23</v>
      </c>
      <c r="H179" s="6" t="n">
        <f aca="false">IF(OR(G179="",SUMIFS('Cálculos Municipais'!$T$9:$T$28,'Cálculos Municipais'!$C$9:$C$28,$C179,'Cálculos Municipais'!$D$9:$D$28,$D179)=0),"",G179*SUMIFS('Cálculos Municipais'!$T$9:$T$28,'Cálculos Municipais'!$C$9:$C$28,$C179,'Cálculos Municipais'!$D$9:$D$28,$D179))</f>
        <v>17660118.2537198</v>
      </c>
      <c r="I179" s="8" t="n">
        <f aca="false">IF(OR(G179="",SUMIFS('Dados DCA'!$L$9:$L$564,'Dados DCA'!$C$9:$C$564,$C179,'Dados DCA'!$E$9:$E$564,$D179,'Dados DCA'!$F$9:$F$564,"despesa_empenhada_exceto_intra")=0),"",G179/SUMIFS('Dados DCA'!$L$9:$L$564,'Dados DCA'!$C$9:$C$564,$C179,'Dados DCA'!$E$9:$E$564,$D179,'Dados DCA'!$F$9:$F$564,"despesa_empenhada_exceto_intra"))</f>
        <v>0.0757315708912605</v>
      </c>
      <c r="J179" s="12" t="s">
        <v>165</v>
      </c>
    </row>
    <row r="180" customFormat="false" ht="15" hidden="false" customHeight="false" outlineLevel="0" collapsed="false">
      <c r="C180" s="12" t="s">
        <v>6</v>
      </c>
      <c r="D180" s="16" t="n">
        <v>2020</v>
      </c>
      <c r="E180" s="12" t="s">
        <v>250</v>
      </c>
      <c r="F180" s="12" t="s">
        <v>251</v>
      </c>
      <c r="G180" s="6" t="n">
        <f aca="false">IF(COUNTIFS('Dados DCA'!$C$9:$C$564,$C180,'Dados DCA'!$E$9:$E$564,$D180,'Dados DCA'!$F$9:$F$564,"despesa_funcao_"&amp;$E180)=0,"",SUMIFS('Dados DCA'!$L$9:$L$564,'Dados DCA'!$C$9:$C$564,$C180,'Dados DCA'!$E$9:$E$564,$D180,'Dados DCA'!$F$9:$F$564,"despesa_funcao_"&amp;$E180))</f>
        <v>4860882.7</v>
      </c>
      <c r="H180" s="6" t="n">
        <f aca="false">IF(OR(G180="",SUMIFS('Cálculos Municipais'!$T$9:$T$28,'Cálculos Municipais'!$C$9:$C$28,$C180,'Cálculos Municipais'!$D$9:$D$28,$D180)=0),"",G180*SUMIFS('Cálculos Municipais'!$T$9:$T$28,'Cálculos Municipais'!$C$9:$C$28,$C180,'Cálculos Municipais'!$D$9:$D$28,$D180))</f>
        <v>6280026.10918036</v>
      </c>
      <c r="I180" s="8" t="n">
        <f aca="false">IF(OR(G180="",SUMIFS('Dados DCA'!$L$9:$L$564,'Dados DCA'!$C$9:$C$564,$C180,'Dados DCA'!$E$9:$E$564,$D180,'Dados DCA'!$F$9:$F$564,"despesa_empenhada_exceto_intra")=0),"",G180/SUMIFS('Dados DCA'!$L$9:$L$564,'Dados DCA'!$C$9:$C$564,$C180,'Dados DCA'!$E$9:$E$564,$D180,'Dados DCA'!$F$9:$F$564,"despesa_empenhada_exceto_intra"))</f>
        <v>0.0269305242271627</v>
      </c>
      <c r="J180" s="12" t="s">
        <v>165</v>
      </c>
    </row>
    <row r="181" customFormat="false" ht="15" hidden="false" customHeight="false" outlineLevel="0" collapsed="false">
      <c r="C181" s="12" t="s">
        <v>6</v>
      </c>
      <c r="D181" s="16" t="n">
        <v>2020</v>
      </c>
      <c r="E181" s="12" t="s">
        <v>252</v>
      </c>
      <c r="F181" s="12" t="s">
        <v>253</v>
      </c>
      <c r="G181" s="6" t="n">
        <f aca="false">IF(COUNTIFS('Dados DCA'!$C$9:$C$564,$C181,'Dados DCA'!$E$9:$E$564,$D181,'Dados DCA'!$F$9:$F$564,"despesa_funcao_"&amp;$E181)=0,"",SUMIFS('Dados DCA'!$L$9:$L$564,'Dados DCA'!$C$9:$C$564,$C181,'Dados DCA'!$E$9:$E$564,$D181,'Dados DCA'!$F$9:$F$564,"despesa_funcao_"&amp;$E181))</f>
        <v>19759885.55</v>
      </c>
      <c r="H181" s="6" t="n">
        <f aca="false">IF(OR(G181="",SUMIFS('Cálculos Municipais'!$T$9:$T$28,'Cálculos Municipais'!$C$9:$C$28,$C181,'Cálculos Municipais'!$D$9:$D$28,$D181)=0),"",G181*SUMIFS('Cálculos Municipais'!$T$9:$T$28,'Cálculos Municipais'!$C$9:$C$28,$C181,'Cálculos Municipais'!$D$9:$D$28,$D181))</f>
        <v>25528819.5225151</v>
      </c>
      <c r="I181" s="8" t="n">
        <f aca="false">IF(OR(G181="",SUMIFS('Dados DCA'!$L$9:$L$564,'Dados DCA'!$C$9:$C$564,$C181,'Dados DCA'!$E$9:$E$564,$D181,'Dados DCA'!$F$9:$F$564,"despesa_empenhada_exceto_intra")=0),"",G181/SUMIFS('Dados DCA'!$L$9:$L$564,'Dados DCA'!$C$9:$C$564,$C181,'Dados DCA'!$E$9:$E$564,$D181,'Dados DCA'!$F$9:$F$564,"despesa_empenhada_exceto_intra"))</f>
        <v>0.109474782539031</v>
      </c>
      <c r="J181" s="12" t="s">
        <v>165</v>
      </c>
    </row>
    <row r="182" customFormat="false" ht="15" hidden="false" customHeight="false" outlineLevel="0" collapsed="false">
      <c r="C182" s="12" t="s">
        <v>6</v>
      </c>
      <c r="D182" s="16" t="n">
        <v>2020</v>
      </c>
      <c r="E182" s="12" t="s">
        <v>254</v>
      </c>
      <c r="F182" s="12" t="s">
        <v>255</v>
      </c>
      <c r="G182" s="6" t="n">
        <f aca="false">IF(COUNTIFS('Dados DCA'!$C$9:$C$564,$C182,'Dados DCA'!$E$9:$E$564,$D182,'Dados DCA'!$F$9:$F$564,"despesa_funcao_"&amp;$E182)=0,"",SUMIFS('Dados DCA'!$L$9:$L$564,'Dados DCA'!$C$9:$C$564,$C182,'Dados DCA'!$E$9:$E$564,$D182,'Dados DCA'!$F$9:$F$564,"despesa_funcao_"&amp;$E182))</f>
        <v>49867881.84</v>
      </c>
      <c r="H182" s="6" t="n">
        <f aca="false">IF(OR(G182="",SUMIFS('Cálculos Municipais'!$T$9:$T$28,'Cálculos Municipais'!$C$9:$C$28,$C182,'Cálculos Municipais'!$D$9:$D$28,$D182)=0),"",G182*SUMIFS('Cálculos Municipais'!$T$9:$T$28,'Cálculos Municipais'!$C$9:$C$28,$C182,'Cálculos Municipais'!$D$9:$D$28,$D182))</f>
        <v>64426899.2470691</v>
      </c>
      <c r="I182" s="8" t="n">
        <f aca="false">IF(OR(G182="",SUMIFS('Dados DCA'!$L$9:$L$564,'Dados DCA'!$C$9:$C$564,$C182,'Dados DCA'!$E$9:$E$564,$D182,'Dados DCA'!$F$9:$F$564,"despesa_empenhada_exceto_intra")=0),"",G182/SUMIFS('Dados DCA'!$L$9:$L$564,'Dados DCA'!$C$9:$C$564,$C182,'Dados DCA'!$E$9:$E$564,$D182,'Dados DCA'!$F$9:$F$564,"despesa_empenhada_exceto_intra"))</f>
        <v>0.27628072573103</v>
      </c>
      <c r="J182" s="12" t="s">
        <v>165</v>
      </c>
    </row>
    <row r="183" customFormat="false" ht="15" hidden="false" customHeight="false" outlineLevel="0" collapsed="false">
      <c r="C183" s="12" t="s">
        <v>6</v>
      </c>
      <c r="D183" s="16" t="n">
        <v>2020</v>
      </c>
      <c r="E183" s="12" t="s">
        <v>258</v>
      </c>
      <c r="F183" s="12" t="s">
        <v>259</v>
      </c>
      <c r="G183" s="6" t="n">
        <f aca="false">IF(COUNTIFS('Dados DCA'!$C$9:$C$564,$C183,'Dados DCA'!$E$9:$E$564,$D183,'Dados DCA'!$F$9:$F$564,"despesa_funcao_"&amp;$E183)=0,"",SUMIFS('Dados DCA'!$L$9:$L$564,'Dados DCA'!$C$9:$C$564,$C183,'Dados DCA'!$E$9:$E$564,$D183,'Dados DCA'!$F$9:$F$564,"despesa_funcao_"&amp;$E183))</f>
        <v>53834972.27</v>
      </c>
      <c r="H183" s="6" t="n">
        <f aca="false">IF(OR(G183="",SUMIFS('Cálculos Municipais'!$T$9:$T$28,'Cálculos Municipais'!$C$9:$C$28,$C183,'Cálculos Municipais'!$D$9:$D$28,$D183)=0),"",G183*SUMIFS('Cálculos Municipais'!$T$9:$T$28,'Cálculos Municipais'!$C$9:$C$28,$C183,'Cálculos Municipais'!$D$9:$D$28,$D183))</f>
        <v>69552188.8324112</v>
      </c>
      <c r="I183" s="8" t="n">
        <f aca="false">IF(OR(G183="",SUMIFS('Dados DCA'!$L$9:$L$564,'Dados DCA'!$C$9:$C$564,$C183,'Dados DCA'!$E$9:$E$564,$D183,'Dados DCA'!$F$9:$F$564,"despesa_empenhada_exceto_intra")=0),"",G183/SUMIFS('Dados DCA'!$L$9:$L$564,'Dados DCA'!$C$9:$C$564,$C183,'Dados DCA'!$E$9:$E$564,$D183,'Dados DCA'!$F$9:$F$564,"despesa_empenhada_exceto_intra"))</f>
        <v>0.29825941386857</v>
      </c>
      <c r="J183" s="12" t="s">
        <v>165</v>
      </c>
    </row>
    <row r="184" customFormat="false" ht="15" hidden="false" customHeight="false" outlineLevel="0" collapsed="false">
      <c r="C184" s="12" t="s">
        <v>6</v>
      </c>
      <c r="D184" s="16" t="n">
        <v>2020</v>
      </c>
      <c r="E184" s="12" t="s">
        <v>260</v>
      </c>
      <c r="F184" s="12" t="s">
        <v>261</v>
      </c>
      <c r="G184" s="6" t="n">
        <f aca="false">IF(COUNTIFS('Dados DCA'!$C$9:$C$564,$C184,'Dados DCA'!$E$9:$E$564,$D184,'Dados DCA'!$F$9:$F$564,"despesa_funcao_"&amp;$E184)=0,"",SUMIFS('Dados DCA'!$L$9:$L$564,'Dados DCA'!$C$9:$C$564,$C184,'Dados DCA'!$E$9:$E$564,$D184,'Dados DCA'!$F$9:$F$564,"despesa_funcao_"&amp;$E184))</f>
        <v>1590605.3</v>
      </c>
      <c r="H184" s="6" t="n">
        <f aca="false">IF(OR(G184="",SUMIFS('Cálculos Municipais'!$T$9:$T$28,'Cálculos Municipais'!$C$9:$C$28,$C184,'Cálculos Municipais'!$D$9:$D$28,$D184)=0),"",G184*SUMIFS('Cálculos Municipais'!$T$9:$T$28,'Cálculos Municipais'!$C$9:$C$28,$C184,'Cálculos Municipais'!$D$9:$D$28,$D184))</f>
        <v>2054985.36580623</v>
      </c>
      <c r="I184" s="8" t="n">
        <f aca="false">IF(OR(G184="",SUMIFS('Dados DCA'!$L$9:$L$564,'Dados DCA'!$C$9:$C$564,$C184,'Dados DCA'!$E$9:$E$564,$D184,'Dados DCA'!$F$9:$F$564,"despesa_empenhada_exceto_intra")=0),"",G184/SUMIFS('Dados DCA'!$L$9:$L$564,'Dados DCA'!$C$9:$C$564,$C184,'Dados DCA'!$E$9:$E$564,$D184,'Dados DCA'!$F$9:$F$564,"despesa_empenhada_exceto_intra"))</f>
        <v>0.00881235718103288</v>
      </c>
      <c r="J184" s="12" t="s">
        <v>165</v>
      </c>
    </row>
    <row r="185" customFormat="false" ht="15" hidden="false" customHeight="false" outlineLevel="0" collapsed="false">
      <c r="C185" s="12" t="s">
        <v>6</v>
      </c>
      <c r="D185" s="16" t="n">
        <v>2020</v>
      </c>
      <c r="E185" s="12" t="s">
        <v>262</v>
      </c>
      <c r="F185" s="12" t="s">
        <v>263</v>
      </c>
      <c r="G185" s="6" t="n">
        <f aca="false">IF(COUNTIFS('Dados DCA'!$C$9:$C$564,$C185,'Dados DCA'!$E$9:$E$564,$D185,'Dados DCA'!$F$9:$F$564,"despesa_funcao_"&amp;$E185)=0,"",SUMIFS('Dados DCA'!$L$9:$L$564,'Dados DCA'!$C$9:$C$564,$C185,'Dados DCA'!$E$9:$E$564,$D185,'Dados DCA'!$F$9:$F$564,"despesa_funcao_"&amp;$E185))</f>
        <v>20158015.77</v>
      </c>
      <c r="H185" s="6" t="n">
        <f aca="false">IF(OR(G185="",SUMIFS('Cálculos Municipais'!$T$9:$T$28,'Cálculos Municipais'!$C$9:$C$28,$C185,'Cálculos Municipais'!$D$9:$D$28,$D185)=0),"",G185*SUMIFS('Cálculos Municipais'!$T$9:$T$28,'Cálculos Municipais'!$C$9:$C$28,$C185,'Cálculos Municipais'!$D$9:$D$28,$D185))</f>
        <v>26043184.5732195</v>
      </c>
      <c r="I185" s="8" t="n">
        <f aca="false">IF(OR(G185="",SUMIFS('Dados DCA'!$L$9:$L$564,'Dados DCA'!$C$9:$C$564,$C185,'Dados DCA'!$E$9:$E$564,$D185,'Dados DCA'!$F$9:$F$564,"despesa_empenhada_exceto_intra")=0),"",G185/SUMIFS('Dados DCA'!$L$9:$L$564,'Dados DCA'!$C$9:$C$564,$C185,'Dados DCA'!$E$9:$E$564,$D185,'Dados DCA'!$F$9:$F$564,"despesa_empenhada_exceto_intra"))</f>
        <v>0.11168052503417</v>
      </c>
      <c r="J185" s="12" t="s">
        <v>165</v>
      </c>
    </row>
    <row r="186" customFormat="false" ht="15" hidden="false" customHeight="false" outlineLevel="0" collapsed="false">
      <c r="C186" s="12" t="s">
        <v>6</v>
      </c>
      <c r="D186" s="16" t="n">
        <v>2020</v>
      </c>
      <c r="E186" s="12" t="s">
        <v>264</v>
      </c>
      <c r="F186" s="12" t="s">
        <v>265</v>
      </c>
      <c r="G186" s="6" t="n">
        <f aca="false">IF(COUNTIFS('Dados DCA'!$C$9:$C$564,$C186,'Dados DCA'!$E$9:$E$564,$D186,'Dados DCA'!$F$9:$F$564,"despesa_funcao_"&amp;$E186)=0,"",SUMIFS('Dados DCA'!$L$9:$L$564,'Dados DCA'!$C$9:$C$564,$C186,'Dados DCA'!$E$9:$E$564,$D186,'Dados DCA'!$F$9:$F$564,"despesa_funcao_"&amp;$E186))</f>
        <v>1949250.51</v>
      </c>
      <c r="H186" s="6" t="n">
        <f aca="false">IF(OR(G186="",SUMIFS('Cálculos Municipais'!$T$9:$T$28,'Cálculos Municipais'!$C$9:$C$28,$C186,'Cálculos Municipais'!$D$9:$D$28,$D186)=0),"",G186*SUMIFS('Cálculos Municipais'!$T$9:$T$28,'Cálculos Municipais'!$C$9:$C$28,$C186,'Cálculos Municipais'!$D$9:$D$28,$D186))</f>
        <v>2518337.68713101</v>
      </c>
      <c r="I186" s="8" t="n">
        <f aca="false">IF(OR(G186="",SUMIFS('Dados DCA'!$L$9:$L$564,'Dados DCA'!$C$9:$C$564,$C186,'Dados DCA'!$E$9:$E$564,$D186,'Dados DCA'!$F$9:$F$564,"despesa_empenhada_exceto_intra")=0),"",G186/SUMIFS('Dados DCA'!$L$9:$L$564,'Dados DCA'!$C$9:$C$564,$C186,'Dados DCA'!$E$9:$E$564,$D186,'Dados DCA'!$F$9:$F$564,"despesa_empenhada_exceto_intra"))</f>
        <v>0.0107993426964128</v>
      </c>
      <c r="J186" s="12" t="s">
        <v>165</v>
      </c>
    </row>
    <row r="187" customFormat="false" ht="15" hidden="false" customHeight="false" outlineLevel="0" collapsed="false">
      <c r="C187" s="12" t="s">
        <v>6</v>
      </c>
      <c r="D187" s="16" t="n">
        <v>2020</v>
      </c>
      <c r="E187" s="12" t="s">
        <v>266</v>
      </c>
      <c r="F187" s="12" t="s">
        <v>267</v>
      </c>
      <c r="G187" s="6" t="n">
        <f aca="false">IF(COUNTIFS('Dados DCA'!$C$9:$C$564,$C187,'Dados DCA'!$E$9:$E$564,$D187,'Dados DCA'!$F$9:$F$564,"despesa_funcao_"&amp;$E187)=0,"",SUMIFS('Dados DCA'!$L$9:$L$564,'Dados DCA'!$C$9:$C$564,$C187,'Dados DCA'!$E$9:$E$564,$D187,'Dados DCA'!$F$9:$F$564,"despesa_funcao_"&amp;$E187))</f>
        <v>951818.03</v>
      </c>
      <c r="H187" s="6" t="n">
        <f aca="false">IF(OR(G187="",SUMIFS('Cálculos Municipais'!$T$9:$T$28,'Cálculos Municipais'!$C$9:$C$28,$C187,'Cálculos Municipais'!$D$9:$D$28,$D187)=0),"",G187*SUMIFS('Cálculos Municipais'!$T$9:$T$28,'Cálculos Municipais'!$C$9:$C$28,$C187,'Cálculos Municipais'!$D$9:$D$28,$D187))</f>
        <v>1229703.00838336</v>
      </c>
      <c r="I187" s="8" t="n">
        <f aca="false">IF(OR(G187="",SUMIFS('Dados DCA'!$L$9:$L$564,'Dados DCA'!$C$9:$C$564,$C187,'Dados DCA'!$E$9:$E$564,$D187,'Dados DCA'!$F$9:$F$564,"despesa_empenhada_exceto_intra")=0),"",G187/SUMIFS('Dados DCA'!$L$9:$L$564,'Dados DCA'!$C$9:$C$564,$C187,'Dados DCA'!$E$9:$E$564,$D187,'Dados DCA'!$F$9:$F$564,"despesa_empenhada_exceto_intra"))</f>
        <v>0.00527331353146319</v>
      </c>
      <c r="J187" s="12" t="s">
        <v>165</v>
      </c>
    </row>
    <row r="188" customFormat="false" ht="15" hidden="false" customHeight="false" outlineLevel="0" collapsed="false">
      <c r="C188" s="12" t="s">
        <v>6</v>
      </c>
      <c r="D188" s="16" t="n">
        <v>2020</v>
      </c>
      <c r="E188" s="12" t="s">
        <v>268</v>
      </c>
      <c r="F188" s="12" t="s">
        <v>269</v>
      </c>
      <c r="G188" s="6" t="n">
        <f aca="false">IF(COUNTIFS('Dados DCA'!$C$9:$C$564,$C188,'Dados DCA'!$E$9:$E$564,$D188,'Dados DCA'!$F$9:$F$564,"despesa_funcao_"&amp;$E188)=0,"",SUMIFS('Dados DCA'!$L$9:$L$564,'Dados DCA'!$C$9:$C$564,$C188,'Dados DCA'!$E$9:$E$564,$D188,'Dados DCA'!$F$9:$F$564,"despesa_funcao_"&amp;$E188))</f>
        <v>3050935.59</v>
      </c>
      <c r="H188" s="6" t="n">
        <f aca="false">IF(OR(G188="",SUMIFS('Cálculos Municipais'!$T$9:$T$28,'Cálculos Municipais'!$C$9:$C$28,$C188,'Cálculos Municipais'!$D$9:$D$28,$D188)=0),"",G188*SUMIFS('Cálculos Municipais'!$T$9:$T$28,'Cálculos Municipais'!$C$9:$C$28,$C188,'Cálculos Municipais'!$D$9:$D$28,$D188))</f>
        <v>3941661.69914522</v>
      </c>
      <c r="I188" s="8" t="n">
        <f aca="false">IF(OR(G188="",SUMIFS('Dados DCA'!$L$9:$L$564,'Dados DCA'!$C$9:$C$564,$C188,'Dados DCA'!$E$9:$E$564,$D188,'Dados DCA'!$F$9:$F$564,"despesa_empenhada_exceto_intra")=0),"",G188/SUMIFS('Dados DCA'!$L$9:$L$564,'Dados DCA'!$C$9:$C$564,$C188,'Dados DCA'!$E$9:$E$564,$D188,'Dados DCA'!$F$9:$F$564,"despesa_empenhada_exceto_intra"))</f>
        <v>0.0169029577327608</v>
      </c>
      <c r="J188" s="12" t="s">
        <v>165</v>
      </c>
    </row>
    <row r="189" customFormat="false" ht="15" hidden="false" customHeight="false" outlineLevel="0" collapsed="false">
      <c r="C189" s="12" t="s">
        <v>6</v>
      </c>
      <c r="D189" s="16" t="n">
        <v>2020</v>
      </c>
      <c r="E189" s="12" t="s">
        <v>288</v>
      </c>
      <c r="F189" s="12" t="s">
        <v>289</v>
      </c>
      <c r="G189" s="6" t="n">
        <f aca="false">IF(COUNTIFS('Dados DCA'!$C$9:$C$564,$C189,'Dados DCA'!$E$9:$E$564,$D189,'Dados DCA'!$F$9:$F$564,"despesa_funcao_"&amp;$E189)=0,"",SUMIFS('Dados DCA'!$L$9:$L$564,'Dados DCA'!$C$9:$C$564,$C189,'Dados DCA'!$E$9:$E$564,$D189,'Dados DCA'!$F$9:$F$564,"despesa_funcao_"&amp;$E189))</f>
        <v>352252.34</v>
      </c>
      <c r="H189" s="6" t="n">
        <f aca="false">IF(OR(G189="",SUMIFS('Cálculos Municipais'!$T$9:$T$28,'Cálculos Municipais'!$C$9:$C$28,$C189,'Cálculos Municipais'!$D$9:$D$28,$D189)=0),"",G189*SUMIFS('Cálculos Municipais'!$T$9:$T$28,'Cálculos Municipais'!$C$9:$C$28,$C189,'Cálculos Municipais'!$D$9:$D$28,$D189))</f>
        <v>455093.041479869</v>
      </c>
      <c r="I189" s="8" t="n">
        <f aca="false">IF(OR(G189="",SUMIFS('Dados DCA'!$L$9:$L$564,'Dados DCA'!$C$9:$C$564,$C189,'Dados DCA'!$E$9:$E$564,$D189,'Dados DCA'!$F$9:$F$564,"despesa_empenhada_exceto_intra")=0),"",G189/SUMIFS('Dados DCA'!$L$9:$L$564,'Dados DCA'!$C$9:$C$564,$C189,'Dados DCA'!$E$9:$E$564,$D189,'Dados DCA'!$F$9:$F$564,"despesa_empenhada_exceto_intra"))</f>
        <v>0.00195156739257353</v>
      </c>
      <c r="J189" s="12" t="s">
        <v>165</v>
      </c>
    </row>
    <row r="190" customFormat="false" ht="15" hidden="false" customHeight="false" outlineLevel="0" collapsed="false">
      <c r="C190" s="12" t="s">
        <v>6</v>
      </c>
      <c r="D190" s="16" t="n">
        <v>2020</v>
      </c>
      <c r="E190" s="12" t="s">
        <v>272</v>
      </c>
      <c r="F190" s="12" t="s">
        <v>273</v>
      </c>
      <c r="G190" s="6" t="n">
        <f aca="false">IF(COUNTIFS('Dados DCA'!$C$9:$C$564,$C190,'Dados DCA'!$E$9:$E$564,$D190,'Dados DCA'!$F$9:$F$564,"despesa_funcao_"&amp;$E190)=0,"",SUMIFS('Dados DCA'!$L$9:$L$564,'Dados DCA'!$C$9:$C$564,$C190,'Dados DCA'!$E$9:$E$564,$D190,'Dados DCA'!$F$9:$F$564,"despesa_funcao_"&amp;$E190))</f>
        <v>520738.52</v>
      </c>
      <c r="H190" s="6" t="n">
        <f aca="false">IF(OR(G190="",SUMIFS('Cálculos Municipais'!$T$9:$T$28,'Cálculos Municipais'!$C$9:$C$28,$C190,'Cálculos Municipais'!$D$9:$D$28,$D190)=0),"",G190*SUMIFS('Cálculos Municipais'!$T$9:$T$28,'Cálculos Municipais'!$C$9:$C$28,$C190,'Cálculos Municipais'!$D$9:$D$28,$D190))</f>
        <v>672769.063457536</v>
      </c>
      <c r="I190" s="8" t="n">
        <f aca="false">IF(OR(G190="",SUMIFS('Dados DCA'!$L$9:$L$564,'Dados DCA'!$C$9:$C$564,$C190,'Dados DCA'!$E$9:$E$564,$D190,'Dados DCA'!$F$9:$F$564,"despesa_empenhada_exceto_intra")=0),"",G190/SUMIFS('Dados DCA'!$L$9:$L$564,'Dados DCA'!$C$9:$C$564,$C190,'Dados DCA'!$E$9:$E$564,$D190,'Dados DCA'!$F$9:$F$564,"despesa_empenhada_exceto_intra"))</f>
        <v>0.00288502360463808</v>
      </c>
      <c r="J190" s="12" t="s">
        <v>165</v>
      </c>
    </row>
    <row r="191" customFormat="false" ht="15" hidden="false" customHeight="false" outlineLevel="0" collapsed="false">
      <c r="C191" s="12" t="s">
        <v>6</v>
      </c>
      <c r="D191" s="16" t="n">
        <v>2020</v>
      </c>
      <c r="E191" s="12" t="s">
        <v>282</v>
      </c>
      <c r="F191" s="12" t="s">
        <v>283</v>
      </c>
      <c r="G191" s="6" t="n">
        <f aca="false">IF(COUNTIFS('Dados DCA'!$C$9:$C$564,$C191,'Dados DCA'!$E$9:$E$564,$D191,'Dados DCA'!$F$9:$F$564,"despesa_funcao_"&amp;$E191)=0,"",SUMIFS('Dados DCA'!$L$9:$L$564,'Dados DCA'!$C$9:$C$564,$C191,'Dados DCA'!$E$9:$E$564,$D191,'Dados DCA'!$F$9:$F$564,"despesa_funcao_"&amp;$E191))</f>
        <v>294607.45</v>
      </c>
      <c r="H191" s="6" t="n">
        <f aca="false">IF(OR(G191="",SUMIFS('Cálculos Municipais'!$T$9:$T$28,'Cálculos Municipais'!$C$9:$C$28,$C191,'Cálculos Municipais'!$D$9:$D$28,$D191)=0),"",G191*SUMIFS('Cálculos Municipais'!$T$9:$T$28,'Cálculos Municipais'!$C$9:$C$28,$C191,'Cálculos Municipais'!$D$9:$D$28,$D191))</f>
        <v>380618.622613347</v>
      </c>
      <c r="I191" s="8" t="n">
        <f aca="false">IF(OR(G191="",SUMIFS('Dados DCA'!$L$9:$L$564,'Dados DCA'!$C$9:$C$564,$C191,'Dados DCA'!$E$9:$E$564,$D191,'Dados DCA'!$F$9:$F$564,"despesa_empenhada_exceto_intra")=0),"",G191/SUMIFS('Dados DCA'!$L$9:$L$564,'Dados DCA'!$C$9:$C$564,$C191,'Dados DCA'!$E$9:$E$564,$D191,'Dados DCA'!$F$9:$F$564,"despesa_empenhada_exceto_intra"))</f>
        <v>0.00163220006722804</v>
      </c>
      <c r="J191" s="12" t="s">
        <v>165</v>
      </c>
    </row>
    <row r="192" customFormat="false" ht="15" hidden="false" customHeight="false" outlineLevel="0" collapsed="false">
      <c r="C192" s="12" t="s">
        <v>6</v>
      </c>
      <c r="D192" s="16" t="n">
        <v>2020</v>
      </c>
      <c r="E192" s="12" t="s">
        <v>274</v>
      </c>
      <c r="F192" s="12" t="s">
        <v>275</v>
      </c>
      <c r="G192" s="6" t="n">
        <f aca="false">IF(COUNTIFS('Dados DCA'!$C$9:$C$564,$C192,'Dados DCA'!$E$9:$E$564,$D192,'Dados DCA'!$F$9:$F$564,"despesa_funcao_"&amp;$E192)=0,"",SUMIFS('Dados DCA'!$L$9:$L$564,'Dados DCA'!$C$9:$C$564,$C192,'Dados DCA'!$E$9:$E$564,$D192,'Dados DCA'!$F$9:$F$564,"despesa_funcao_"&amp;$E192))</f>
        <v>3438202.14</v>
      </c>
      <c r="H192" s="6" t="n">
        <f aca="false">IF(OR(G192="",SUMIFS('Cálculos Municipais'!$T$9:$T$28,'Cálculos Municipais'!$C$9:$C$28,$C192,'Cálculos Municipais'!$D$9:$D$28,$D192)=0),"",G192*SUMIFS('Cálculos Municipais'!$T$9:$T$28,'Cálculos Municipais'!$C$9:$C$28,$C192,'Cálculos Municipais'!$D$9:$D$28,$D192))</f>
        <v>4441991.41193837</v>
      </c>
      <c r="I192" s="8" t="n">
        <f aca="false">IF(OR(G192="",SUMIFS('Dados DCA'!$L$9:$L$564,'Dados DCA'!$C$9:$C$564,$C192,'Dados DCA'!$E$9:$E$564,$D192,'Dados DCA'!$F$9:$F$564,"despesa_empenhada_exceto_intra")=0),"",G192/SUMIFS('Dados DCA'!$L$9:$L$564,'Dados DCA'!$C$9:$C$564,$C192,'Dados DCA'!$E$9:$E$564,$D192,'Dados DCA'!$F$9:$F$564,"despesa_empenhada_exceto_intra"))</f>
        <v>0.0190485127380574</v>
      </c>
      <c r="J192" s="12" t="s">
        <v>165</v>
      </c>
    </row>
    <row r="193" customFormat="false" ht="15" hidden="false" customHeight="false" outlineLevel="0" collapsed="false">
      <c r="C193" s="12" t="s">
        <v>6</v>
      </c>
      <c r="D193" s="16" t="n">
        <v>2021</v>
      </c>
      <c r="E193" s="12" t="s">
        <v>246</v>
      </c>
      <c r="F193" s="12" t="s">
        <v>247</v>
      </c>
      <c r="G193" s="6" t="n">
        <f aca="false">IF(COUNTIFS('Dados DCA'!$C$9:$C$564,$C193,'Dados DCA'!$E$9:$E$564,$D193,'Dados DCA'!$F$9:$F$564,"despesa_funcao_"&amp;$E193)=0,"",SUMIFS('Dados DCA'!$L$9:$L$564,'Dados DCA'!$C$9:$C$564,$C193,'Dados DCA'!$E$9:$E$564,$D193,'Dados DCA'!$F$9:$F$564,"despesa_funcao_"&amp;$E193))</f>
        <v>5365849.19</v>
      </c>
      <c r="H193" s="6" t="n">
        <f aca="false">IF(OR(G193="",SUMIFS('Cálculos Municipais'!$T$9:$T$28,'Cálculos Municipais'!$C$9:$C$28,$C193,'Cálculos Municipais'!$D$9:$D$28,$D193)=0),"",G193*SUMIFS('Cálculos Municipais'!$T$9:$T$28,'Cálculos Municipais'!$C$9:$C$28,$C193,'Cálculos Municipais'!$D$9:$D$28,$D193))</f>
        <v>6401026.98874825</v>
      </c>
      <c r="I193" s="8" t="n">
        <f aca="false">IF(OR(G193="",SUMIFS('Dados DCA'!$L$9:$L$564,'Dados DCA'!$C$9:$C$564,$C193,'Dados DCA'!$E$9:$E$564,$D193,'Dados DCA'!$F$9:$F$564,"despesa_empenhada_exceto_intra")=0),"",G193/SUMIFS('Dados DCA'!$L$9:$L$564,'Dados DCA'!$C$9:$C$564,$C193,'Dados DCA'!$E$9:$E$564,$D193,'Dados DCA'!$F$9:$F$564,"despesa_empenhada_exceto_intra"))</f>
        <v>0.0281507388826963</v>
      </c>
      <c r="J193" s="12" t="s">
        <v>166</v>
      </c>
    </row>
    <row r="194" customFormat="false" ht="15" hidden="false" customHeight="false" outlineLevel="0" collapsed="false">
      <c r="C194" s="12" t="s">
        <v>6</v>
      </c>
      <c r="D194" s="16" t="n">
        <v>2021</v>
      </c>
      <c r="E194" s="12" t="s">
        <v>284</v>
      </c>
      <c r="F194" s="12" t="s">
        <v>285</v>
      </c>
      <c r="G194" s="6" t="n">
        <f aca="false">IF(COUNTIFS('Dados DCA'!$C$9:$C$564,$C194,'Dados DCA'!$E$9:$E$564,$D194,'Dados DCA'!$F$9:$F$564,"despesa_funcao_"&amp;$E194)=0,"",SUMIFS('Dados DCA'!$L$9:$L$564,'Dados DCA'!$C$9:$C$564,$C194,'Dados DCA'!$E$9:$E$564,$D194,'Dados DCA'!$F$9:$F$564,"despesa_funcao_"&amp;$E194))</f>
        <v>1130040.91</v>
      </c>
      <c r="H194" s="6" t="n">
        <f aca="false">IF(OR(G194="",SUMIFS('Cálculos Municipais'!$T$9:$T$28,'Cálculos Municipais'!$C$9:$C$28,$C194,'Cálculos Municipais'!$D$9:$D$28,$D194)=0),"",G194*SUMIFS('Cálculos Municipais'!$T$9:$T$28,'Cálculos Municipais'!$C$9:$C$28,$C194,'Cálculos Municipais'!$D$9:$D$28,$D194))</f>
        <v>1348048.01759619</v>
      </c>
      <c r="I194" s="8" t="n">
        <f aca="false">IF(OR(G194="",SUMIFS('Dados DCA'!$L$9:$L$564,'Dados DCA'!$C$9:$C$564,$C194,'Dados DCA'!$E$9:$E$564,$D194,'Dados DCA'!$F$9:$F$564,"despesa_empenhada_exceto_intra")=0),"",G194/SUMIFS('Dados DCA'!$L$9:$L$564,'Dados DCA'!$C$9:$C$564,$C194,'Dados DCA'!$E$9:$E$564,$D194,'Dados DCA'!$F$9:$F$564,"despesa_empenhada_exceto_intra"))</f>
        <v>0.00592850925506062</v>
      </c>
      <c r="J194" s="12" t="s">
        <v>166</v>
      </c>
    </row>
    <row r="195" customFormat="false" ht="15" hidden="false" customHeight="false" outlineLevel="0" collapsed="false">
      <c r="C195" s="12" t="s">
        <v>6</v>
      </c>
      <c r="D195" s="16" t="n">
        <v>2021</v>
      </c>
      <c r="E195" s="12" t="s">
        <v>248</v>
      </c>
      <c r="F195" s="12" t="s">
        <v>249</v>
      </c>
      <c r="G195" s="6" t="n">
        <f aca="false">IF(COUNTIFS('Dados DCA'!$C$9:$C$564,$C195,'Dados DCA'!$E$9:$E$564,$D195,'Dados DCA'!$F$9:$F$564,"despesa_funcao_"&amp;$E195)=0,"",SUMIFS('Dados DCA'!$L$9:$L$564,'Dados DCA'!$C$9:$C$564,$C195,'Dados DCA'!$E$9:$E$564,$D195,'Dados DCA'!$F$9:$F$564,"despesa_funcao_"&amp;$E195))</f>
        <v>15027990.11</v>
      </c>
      <c r="H195" s="6" t="n">
        <f aca="false">IF(OR(G195="",SUMIFS('Cálculos Municipais'!$T$9:$T$28,'Cálculos Municipais'!$C$9:$C$28,$C195,'Cálculos Municipais'!$D$9:$D$28,$D195)=0),"",G195*SUMIFS('Cálculos Municipais'!$T$9:$T$28,'Cálculos Municipais'!$C$9:$C$28,$C195,'Cálculos Municipais'!$D$9:$D$28,$D195))</f>
        <v>17927184.8452289</v>
      </c>
      <c r="I195" s="8" t="n">
        <f aca="false">IF(OR(G195="",SUMIFS('Dados DCA'!$L$9:$L$564,'Dados DCA'!$C$9:$C$564,$C195,'Dados DCA'!$E$9:$E$564,$D195,'Dados DCA'!$F$9:$F$564,"despesa_empenhada_exceto_intra")=0),"",G195/SUMIFS('Dados DCA'!$L$9:$L$564,'Dados DCA'!$C$9:$C$564,$C195,'Dados DCA'!$E$9:$E$564,$D195,'Dados DCA'!$F$9:$F$564,"despesa_empenhada_exceto_intra"))</f>
        <v>0.0788410204123446</v>
      </c>
      <c r="J195" s="12" t="s">
        <v>166</v>
      </c>
    </row>
    <row r="196" customFormat="false" ht="15" hidden="false" customHeight="false" outlineLevel="0" collapsed="false">
      <c r="C196" s="12" t="s">
        <v>6</v>
      </c>
      <c r="D196" s="16" t="n">
        <v>2021</v>
      </c>
      <c r="E196" s="12" t="s">
        <v>250</v>
      </c>
      <c r="F196" s="12" t="s">
        <v>251</v>
      </c>
      <c r="G196" s="6" t="n">
        <f aca="false">IF(COUNTIFS('Dados DCA'!$C$9:$C$564,$C196,'Dados DCA'!$E$9:$E$564,$D196,'Dados DCA'!$F$9:$F$564,"despesa_funcao_"&amp;$E196)=0,"",SUMIFS('Dados DCA'!$L$9:$L$564,'Dados DCA'!$C$9:$C$564,$C196,'Dados DCA'!$E$9:$E$564,$D196,'Dados DCA'!$F$9:$F$564,"despesa_funcao_"&amp;$E196))</f>
        <v>3438654.31</v>
      </c>
      <c r="H196" s="6" t="n">
        <f aca="false">IF(OR(G196="",SUMIFS('Cálculos Municipais'!$T$9:$T$28,'Cálculos Municipais'!$C$9:$C$28,$C196,'Cálculos Municipais'!$D$9:$D$28,$D196)=0),"",G196*SUMIFS('Cálculos Municipais'!$T$9:$T$28,'Cálculos Municipais'!$C$9:$C$28,$C196,'Cálculos Municipais'!$D$9:$D$28,$D196))</f>
        <v>4102038.32867794</v>
      </c>
      <c r="I196" s="8" t="n">
        <f aca="false">IF(OR(G196="",SUMIFS('Dados DCA'!$L$9:$L$564,'Dados DCA'!$C$9:$C$564,$C196,'Dados DCA'!$E$9:$E$564,$D196,'Dados DCA'!$F$9:$F$564,"despesa_empenhada_exceto_intra")=0),"",G196/SUMIFS('Dados DCA'!$L$9:$L$564,'Dados DCA'!$C$9:$C$564,$C196,'Dados DCA'!$E$9:$E$564,$D196,'Dados DCA'!$F$9:$F$564,"despesa_empenhada_exceto_intra"))</f>
        <v>0.0180401379466776</v>
      </c>
      <c r="J196" s="12" t="s">
        <v>166</v>
      </c>
    </row>
    <row r="197" customFormat="false" ht="15" hidden="false" customHeight="false" outlineLevel="0" collapsed="false">
      <c r="C197" s="12" t="s">
        <v>6</v>
      </c>
      <c r="D197" s="16" t="n">
        <v>2021</v>
      </c>
      <c r="E197" s="12" t="s">
        <v>252</v>
      </c>
      <c r="F197" s="12" t="s">
        <v>253</v>
      </c>
      <c r="G197" s="6" t="n">
        <f aca="false">IF(COUNTIFS('Dados DCA'!$C$9:$C$564,$C197,'Dados DCA'!$E$9:$E$564,$D197,'Dados DCA'!$F$9:$F$564,"despesa_funcao_"&amp;$E197)=0,"",SUMIFS('Dados DCA'!$L$9:$L$564,'Dados DCA'!$C$9:$C$564,$C197,'Dados DCA'!$E$9:$E$564,$D197,'Dados DCA'!$F$9:$F$564,"despesa_funcao_"&amp;$E197))</f>
        <v>21155283.16</v>
      </c>
      <c r="H197" s="6" t="n">
        <f aca="false">IF(OR(G197="",SUMIFS('Cálculos Municipais'!$T$9:$T$28,'Cálculos Municipais'!$C$9:$C$28,$C197,'Cálculos Municipais'!$D$9:$D$28,$D197)=0),"",G197*SUMIFS('Cálculos Municipais'!$T$9:$T$28,'Cálculos Municipais'!$C$9:$C$28,$C197,'Cálculos Municipais'!$D$9:$D$28,$D197))</f>
        <v>25236553.1841888</v>
      </c>
      <c r="I197" s="8" t="n">
        <f aca="false">IF(OR(G197="",SUMIFS('Dados DCA'!$L$9:$L$564,'Dados DCA'!$C$9:$C$564,$C197,'Dados DCA'!$E$9:$E$564,$D197,'Dados DCA'!$F$9:$F$564,"despesa_empenhada_exceto_intra")=0),"",G197/SUMIFS('Dados DCA'!$L$9:$L$564,'Dados DCA'!$C$9:$C$564,$C197,'Dados DCA'!$E$9:$E$564,$D197,'Dados DCA'!$F$9:$F$564,"despesa_empenhada_exceto_intra"))</f>
        <v>0.110986505796049</v>
      </c>
      <c r="J197" s="12" t="s">
        <v>166</v>
      </c>
    </row>
    <row r="198" customFormat="false" ht="15" hidden="false" customHeight="false" outlineLevel="0" collapsed="false">
      <c r="C198" s="12" t="s">
        <v>6</v>
      </c>
      <c r="D198" s="16" t="n">
        <v>2021</v>
      </c>
      <c r="E198" s="12" t="s">
        <v>254</v>
      </c>
      <c r="F198" s="12" t="s">
        <v>255</v>
      </c>
      <c r="G198" s="6" t="n">
        <f aca="false">IF(COUNTIFS('Dados DCA'!$C$9:$C$564,$C198,'Dados DCA'!$E$9:$E$564,$D198,'Dados DCA'!$F$9:$F$564,"despesa_funcao_"&amp;$E198)=0,"",SUMIFS('Dados DCA'!$L$9:$L$564,'Dados DCA'!$C$9:$C$564,$C198,'Dados DCA'!$E$9:$E$564,$D198,'Dados DCA'!$F$9:$F$564,"despesa_funcao_"&amp;$E198))</f>
        <v>40957252.69</v>
      </c>
      <c r="H198" s="6" t="n">
        <f aca="false">IF(OR(G198="",SUMIFS('Cálculos Municipais'!$T$9:$T$28,'Cálculos Municipais'!$C$9:$C$28,$C198,'Cálculos Municipais'!$D$9:$D$28,$D198)=0),"",G198*SUMIFS('Cálculos Municipais'!$T$9:$T$28,'Cálculos Municipais'!$C$9:$C$28,$C198,'Cálculos Municipais'!$D$9:$D$28,$D198))</f>
        <v>48858711.9336598</v>
      </c>
      <c r="I198" s="8" t="n">
        <f aca="false">IF(OR(G198="",SUMIFS('Dados DCA'!$L$9:$L$564,'Dados DCA'!$C$9:$C$564,$C198,'Dados DCA'!$E$9:$E$564,$D198,'Dados DCA'!$F$9:$F$564,"despesa_empenhada_exceto_intra")=0),"",G198/SUMIFS('Dados DCA'!$L$9:$L$564,'Dados DCA'!$C$9:$C$564,$C198,'Dados DCA'!$E$9:$E$564,$D198,'Dados DCA'!$F$9:$F$564,"despesa_empenhada_exceto_intra"))</f>
        <v>0.214873151481322</v>
      </c>
      <c r="J198" s="12" t="s">
        <v>166</v>
      </c>
    </row>
    <row r="199" customFormat="false" ht="15" hidden="false" customHeight="false" outlineLevel="0" collapsed="false">
      <c r="C199" s="12" t="s">
        <v>6</v>
      </c>
      <c r="D199" s="16" t="n">
        <v>2021</v>
      </c>
      <c r="E199" s="12" t="s">
        <v>258</v>
      </c>
      <c r="F199" s="12" t="s">
        <v>259</v>
      </c>
      <c r="G199" s="6" t="n">
        <f aca="false">IF(COUNTIFS('Dados DCA'!$C$9:$C$564,$C199,'Dados DCA'!$E$9:$E$564,$D199,'Dados DCA'!$F$9:$F$564,"despesa_funcao_"&amp;$E199)=0,"",SUMIFS('Dados DCA'!$L$9:$L$564,'Dados DCA'!$C$9:$C$564,$C199,'Dados DCA'!$E$9:$E$564,$D199,'Dados DCA'!$F$9:$F$564,"despesa_funcao_"&amp;$E199))</f>
        <v>70368430.15</v>
      </c>
      <c r="H199" s="6" t="n">
        <f aca="false">IF(OR(G199="",SUMIFS('Cálculos Municipais'!$T$9:$T$28,'Cálculos Municipais'!$C$9:$C$28,$C199,'Cálculos Municipais'!$D$9:$D$28,$D199)=0),"",G199*SUMIFS('Cálculos Municipais'!$T$9:$T$28,'Cálculos Municipais'!$C$9:$C$28,$C199,'Cálculos Municipais'!$D$9:$D$28,$D199))</f>
        <v>83943883.7352035</v>
      </c>
      <c r="I199" s="8" t="n">
        <f aca="false">IF(OR(G199="",SUMIFS('Dados DCA'!$L$9:$L$564,'Dados DCA'!$C$9:$C$564,$C199,'Dados DCA'!$E$9:$E$564,$D199,'Dados DCA'!$F$9:$F$564,"despesa_empenhada_exceto_intra")=0),"",G199/SUMIFS('Dados DCA'!$L$9:$L$564,'Dados DCA'!$C$9:$C$564,$C199,'Dados DCA'!$E$9:$E$564,$D199,'Dados DCA'!$F$9:$F$564,"despesa_empenhada_exceto_intra"))</f>
        <v>0.369172377492388</v>
      </c>
      <c r="J199" s="12" t="s">
        <v>166</v>
      </c>
    </row>
    <row r="200" customFormat="false" ht="15" hidden="false" customHeight="false" outlineLevel="0" collapsed="false">
      <c r="C200" s="12" t="s">
        <v>6</v>
      </c>
      <c r="D200" s="16" t="n">
        <v>2021</v>
      </c>
      <c r="E200" s="12" t="s">
        <v>260</v>
      </c>
      <c r="F200" s="12" t="s">
        <v>261</v>
      </c>
      <c r="G200" s="6" t="n">
        <f aca="false">IF(COUNTIFS('Dados DCA'!$C$9:$C$564,$C200,'Dados DCA'!$E$9:$E$564,$D200,'Dados DCA'!$F$9:$F$564,"despesa_funcao_"&amp;$E200)=0,"",SUMIFS('Dados DCA'!$L$9:$L$564,'Dados DCA'!$C$9:$C$564,$C200,'Dados DCA'!$E$9:$E$564,$D200,'Dados DCA'!$F$9:$F$564,"despesa_funcao_"&amp;$E200))</f>
        <v>1297168.59</v>
      </c>
      <c r="H200" s="6" t="n">
        <f aca="false">IF(OR(G200="",SUMIFS('Cálculos Municipais'!$T$9:$T$28,'Cálculos Municipais'!$C$9:$C$28,$C200,'Cálculos Municipais'!$D$9:$D$28,$D200)=0),"",G200*SUMIFS('Cálculos Municipais'!$T$9:$T$28,'Cálculos Municipais'!$C$9:$C$28,$C200,'Cálculos Municipais'!$D$9:$D$28,$D200))</f>
        <v>1547417.91271747</v>
      </c>
      <c r="I200" s="8" t="n">
        <f aca="false">IF(OR(G200="",SUMIFS('Dados DCA'!$L$9:$L$564,'Dados DCA'!$C$9:$C$564,$C200,'Dados DCA'!$E$9:$E$564,$D200,'Dados DCA'!$F$9:$F$564,"despesa_empenhada_exceto_intra")=0),"",G200/SUMIFS('Dados DCA'!$L$9:$L$564,'Dados DCA'!$C$9:$C$564,$C200,'Dados DCA'!$E$9:$E$564,$D200,'Dados DCA'!$F$9:$F$564,"despesa_empenhada_exceto_intra"))</f>
        <v>0.00680530759827884</v>
      </c>
      <c r="J200" s="12" t="s">
        <v>166</v>
      </c>
    </row>
    <row r="201" customFormat="false" ht="15" hidden="false" customHeight="false" outlineLevel="0" collapsed="false">
      <c r="C201" s="12" t="s">
        <v>6</v>
      </c>
      <c r="D201" s="16" t="n">
        <v>2021</v>
      </c>
      <c r="E201" s="12" t="s">
        <v>262</v>
      </c>
      <c r="F201" s="12" t="s">
        <v>263</v>
      </c>
      <c r="G201" s="6" t="n">
        <f aca="false">IF(COUNTIFS('Dados DCA'!$C$9:$C$564,$C201,'Dados DCA'!$E$9:$E$564,$D201,'Dados DCA'!$F$9:$F$564,"despesa_funcao_"&amp;$E201)=0,"",SUMIFS('Dados DCA'!$L$9:$L$564,'Dados DCA'!$C$9:$C$564,$C201,'Dados DCA'!$E$9:$E$564,$D201,'Dados DCA'!$F$9:$F$564,"despesa_funcao_"&amp;$E201))</f>
        <v>17089069.77</v>
      </c>
      <c r="H201" s="6" t="n">
        <f aca="false">IF(OR(G201="",SUMIFS('Cálculos Municipais'!$T$9:$T$28,'Cálculos Municipais'!$C$9:$C$28,$C201,'Cálculos Municipais'!$D$9:$D$28,$D201)=0),"",G201*SUMIFS('Cálculos Municipais'!$T$9:$T$28,'Cálculos Municipais'!$C$9:$C$28,$C201,'Cálculos Municipais'!$D$9:$D$28,$D201))</f>
        <v>20385887.2914712</v>
      </c>
      <c r="I201" s="8" t="n">
        <f aca="false">IF(OR(G201="",SUMIFS('Dados DCA'!$L$9:$L$564,'Dados DCA'!$C$9:$C$564,$C201,'Dados DCA'!$E$9:$E$564,$D201,'Dados DCA'!$F$9:$F$564,"despesa_empenhada_exceto_intra")=0),"",G201/SUMIFS('Dados DCA'!$L$9:$L$564,'Dados DCA'!$C$9:$C$564,$C201,'Dados DCA'!$E$9:$E$564,$D201,'Dados DCA'!$F$9:$F$564,"despesa_empenhada_exceto_intra"))</f>
        <v>0.0896540181822458</v>
      </c>
      <c r="J201" s="12" t="s">
        <v>166</v>
      </c>
    </row>
    <row r="202" customFormat="false" ht="15" hidden="false" customHeight="false" outlineLevel="0" collapsed="false">
      <c r="C202" s="12" t="s">
        <v>6</v>
      </c>
      <c r="D202" s="16" t="n">
        <v>2021</v>
      </c>
      <c r="E202" s="12" t="s">
        <v>264</v>
      </c>
      <c r="F202" s="12" t="s">
        <v>265</v>
      </c>
      <c r="G202" s="6" t="n">
        <f aca="false">IF(COUNTIFS('Dados DCA'!$C$9:$C$564,$C202,'Dados DCA'!$E$9:$E$564,$D202,'Dados DCA'!$F$9:$F$564,"despesa_funcao_"&amp;$E202)=0,"",SUMIFS('Dados DCA'!$L$9:$L$564,'Dados DCA'!$C$9:$C$564,$C202,'Dados DCA'!$E$9:$E$564,$D202,'Dados DCA'!$F$9:$F$564,"despesa_funcao_"&amp;$E202))</f>
        <v>2577825.96</v>
      </c>
      <c r="H202" s="6" t="n">
        <f aca="false">IF(OR(G202="",SUMIFS('Cálculos Municipais'!$T$9:$T$28,'Cálculos Municipais'!$C$9:$C$28,$C202,'Cálculos Municipais'!$D$9:$D$28,$D202)=0),"",G202*SUMIFS('Cálculos Municipais'!$T$9:$T$28,'Cálculos Municipais'!$C$9:$C$28,$C202,'Cálculos Municipais'!$D$9:$D$28,$D202))</f>
        <v>3075139.26649434</v>
      </c>
      <c r="I202" s="8" t="n">
        <f aca="false">IF(OR(G202="",SUMIFS('Dados DCA'!$L$9:$L$564,'Dados DCA'!$C$9:$C$564,$C202,'Dados DCA'!$E$9:$E$564,$D202,'Dados DCA'!$F$9:$F$564,"despesa_empenhada_exceto_intra")=0),"",G202/SUMIFS('Dados DCA'!$L$9:$L$564,'Dados DCA'!$C$9:$C$564,$C202,'Dados DCA'!$E$9:$E$564,$D202,'Dados DCA'!$F$9:$F$564,"despesa_empenhada_exceto_intra"))</f>
        <v>0.0135239927391616</v>
      </c>
      <c r="J202" s="12" t="s">
        <v>166</v>
      </c>
    </row>
    <row r="203" customFormat="false" ht="15" hidden="false" customHeight="false" outlineLevel="0" collapsed="false">
      <c r="C203" s="12" t="s">
        <v>6</v>
      </c>
      <c r="D203" s="16" t="n">
        <v>2021</v>
      </c>
      <c r="E203" s="12" t="s">
        <v>266</v>
      </c>
      <c r="F203" s="12" t="s">
        <v>267</v>
      </c>
      <c r="G203" s="6" t="n">
        <f aca="false">IF(COUNTIFS('Dados DCA'!$C$9:$C$564,$C203,'Dados DCA'!$E$9:$E$564,$D203,'Dados DCA'!$F$9:$F$564,"despesa_funcao_"&amp;$E203)=0,"",SUMIFS('Dados DCA'!$L$9:$L$564,'Dados DCA'!$C$9:$C$564,$C203,'Dados DCA'!$E$9:$E$564,$D203,'Dados DCA'!$F$9:$F$564,"despesa_funcao_"&amp;$E203))</f>
        <v>990565.24</v>
      </c>
      <c r="H203" s="6" t="n">
        <f aca="false">IF(OR(G203="",SUMIFS('Cálculos Municipais'!$T$9:$T$28,'Cálculos Municipais'!$C$9:$C$28,$C203,'Cálculos Municipais'!$D$9:$D$28,$D203)=0),"",G203*SUMIFS('Cálculos Municipais'!$T$9:$T$28,'Cálculos Municipais'!$C$9:$C$28,$C203,'Cálculos Municipais'!$D$9:$D$28,$D203))</f>
        <v>1181664.74882905</v>
      </c>
      <c r="I203" s="8" t="n">
        <f aca="false">IF(OR(G203="",SUMIFS('Dados DCA'!$L$9:$L$564,'Dados DCA'!$C$9:$C$564,$C203,'Dados DCA'!$E$9:$E$564,$D203,'Dados DCA'!$F$9:$F$564,"despesa_empenhada_exceto_intra")=0),"",G203/SUMIFS('Dados DCA'!$L$9:$L$564,'Dados DCA'!$C$9:$C$564,$C203,'Dados DCA'!$E$9:$E$564,$D203,'Dados DCA'!$F$9:$F$564,"despesa_empenhada_exceto_intra"))</f>
        <v>0.00519678105554722</v>
      </c>
      <c r="J203" s="12" t="s">
        <v>166</v>
      </c>
    </row>
    <row r="204" customFormat="false" ht="15" hidden="false" customHeight="false" outlineLevel="0" collapsed="false">
      <c r="C204" s="12" t="s">
        <v>6</v>
      </c>
      <c r="D204" s="16" t="n">
        <v>2021</v>
      </c>
      <c r="E204" s="12" t="s">
        <v>268</v>
      </c>
      <c r="F204" s="12" t="s">
        <v>269</v>
      </c>
      <c r="G204" s="6" t="n">
        <f aca="false">IF(COUNTIFS('Dados DCA'!$C$9:$C$564,$C204,'Dados DCA'!$E$9:$E$564,$D204,'Dados DCA'!$F$9:$F$564,"despesa_funcao_"&amp;$E204)=0,"",SUMIFS('Dados DCA'!$L$9:$L$564,'Dados DCA'!$C$9:$C$564,$C204,'Dados DCA'!$E$9:$E$564,$D204,'Dados DCA'!$F$9:$F$564,"despesa_funcao_"&amp;$E204))</f>
        <v>2466216.86</v>
      </c>
      <c r="H204" s="6" t="n">
        <f aca="false">IF(OR(G204="",SUMIFS('Cálculos Municipais'!$T$9:$T$28,'Cálculos Municipais'!$C$9:$C$28,$C204,'Cálculos Municipais'!$D$9:$D$28,$D204)=0),"",G204*SUMIFS('Cálculos Municipais'!$T$9:$T$28,'Cálculos Municipais'!$C$9:$C$28,$C204,'Cálculos Municipais'!$D$9:$D$28,$D204))</f>
        <v>2941998.57692347</v>
      </c>
      <c r="I204" s="8" t="n">
        <f aca="false">IF(OR(G204="",SUMIFS('Dados DCA'!$L$9:$L$564,'Dados DCA'!$C$9:$C$564,$C204,'Dados DCA'!$E$9:$E$564,$D204,'Dados DCA'!$F$9:$F$564,"despesa_empenhada_exceto_intra")=0),"",G204/SUMIFS('Dados DCA'!$L$9:$L$564,'Dados DCA'!$C$9:$C$564,$C204,'Dados DCA'!$E$9:$E$564,$D204,'Dados DCA'!$F$9:$F$564,"despesa_empenhada_exceto_intra"))</f>
        <v>0.0129384603248537</v>
      </c>
      <c r="J204" s="12" t="s">
        <v>166</v>
      </c>
    </row>
    <row r="205" customFormat="false" ht="15" hidden="false" customHeight="false" outlineLevel="0" collapsed="false">
      <c r="C205" s="12" t="s">
        <v>6</v>
      </c>
      <c r="D205" s="16" t="n">
        <v>2021</v>
      </c>
      <c r="E205" s="12" t="s">
        <v>288</v>
      </c>
      <c r="F205" s="12" t="s">
        <v>289</v>
      </c>
      <c r="G205" s="6" t="n">
        <f aca="false">IF(COUNTIFS('Dados DCA'!$C$9:$C$564,$C205,'Dados DCA'!$E$9:$E$564,$D205,'Dados DCA'!$F$9:$F$564,"despesa_funcao_"&amp;$E205)=0,"",SUMIFS('Dados DCA'!$L$9:$L$564,'Dados DCA'!$C$9:$C$564,$C205,'Dados DCA'!$E$9:$E$564,$D205,'Dados DCA'!$F$9:$F$564,"despesa_funcao_"&amp;$E205))</f>
        <v>270626.62</v>
      </c>
      <c r="H205" s="6" t="n">
        <f aca="false">IF(OR(G205="",SUMIFS('Cálculos Municipais'!$T$9:$T$28,'Cálculos Municipais'!$C$9:$C$28,$C205,'Cálculos Municipais'!$D$9:$D$28,$D205)=0),"",G205*SUMIFS('Cálculos Municipais'!$T$9:$T$28,'Cálculos Municipais'!$C$9:$C$28,$C205,'Cálculos Municipais'!$D$9:$D$28,$D205))</f>
        <v>322835.815386328</v>
      </c>
      <c r="I205" s="8" t="n">
        <f aca="false">IF(OR(G205="",SUMIFS('Dados DCA'!$L$9:$L$564,'Dados DCA'!$C$9:$C$564,$C205,'Dados DCA'!$E$9:$E$564,$D205,'Dados DCA'!$F$9:$F$564,"despesa_empenhada_exceto_intra")=0),"",G205/SUMIFS('Dados DCA'!$L$9:$L$564,'Dados DCA'!$C$9:$C$564,$C205,'Dados DCA'!$E$9:$E$564,$D205,'Dados DCA'!$F$9:$F$564,"despesa_empenhada_exceto_intra"))</f>
        <v>0.0014197826000262</v>
      </c>
      <c r="J205" s="12" t="s">
        <v>166</v>
      </c>
    </row>
    <row r="206" customFormat="false" ht="15" hidden="false" customHeight="false" outlineLevel="0" collapsed="false">
      <c r="C206" s="12" t="s">
        <v>6</v>
      </c>
      <c r="D206" s="16" t="n">
        <v>2021</v>
      </c>
      <c r="E206" s="12" t="s">
        <v>272</v>
      </c>
      <c r="F206" s="12" t="s">
        <v>273</v>
      </c>
      <c r="G206" s="6" t="n">
        <f aca="false">IF(COUNTIFS('Dados DCA'!$C$9:$C$564,$C206,'Dados DCA'!$E$9:$E$564,$D206,'Dados DCA'!$F$9:$F$564,"despesa_funcao_"&amp;$E206)=0,"",SUMIFS('Dados DCA'!$L$9:$L$564,'Dados DCA'!$C$9:$C$564,$C206,'Dados DCA'!$E$9:$E$564,$D206,'Dados DCA'!$F$9:$F$564,"despesa_funcao_"&amp;$E206))</f>
        <v>643189.34</v>
      </c>
      <c r="H206" s="6" t="n">
        <f aca="false">IF(OR(G206="",SUMIFS('Cálculos Municipais'!$T$9:$T$28,'Cálculos Municipais'!$C$9:$C$28,$C206,'Cálculos Municipais'!$D$9:$D$28,$D206)=0),"",G206*SUMIFS('Cálculos Municipais'!$T$9:$T$28,'Cálculos Municipais'!$C$9:$C$28,$C206,'Cálculos Municipais'!$D$9:$D$28,$D206))</f>
        <v>767273.20847703</v>
      </c>
      <c r="I206" s="8" t="n">
        <f aca="false">IF(OR(G206="",SUMIFS('Dados DCA'!$L$9:$L$564,'Dados DCA'!$C$9:$C$564,$C206,'Dados DCA'!$E$9:$E$564,$D206,'Dados DCA'!$F$9:$F$564,"despesa_empenhada_exceto_intra")=0),"",G206/SUMIFS('Dados DCA'!$L$9:$L$564,'Dados DCA'!$C$9:$C$564,$C206,'Dados DCA'!$E$9:$E$564,$D206,'Dados DCA'!$F$9:$F$564,"despesa_empenhada_exceto_intra"))</f>
        <v>0.00337435036307343</v>
      </c>
      <c r="J206" s="12" t="s">
        <v>166</v>
      </c>
    </row>
    <row r="207" customFormat="false" ht="15" hidden="false" customHeight="false" outlineLevel="0" collapsed="false">
      <c r="C207" s="12" t="s">
        <v>6</v>
      </c>
      <c r="D207" s="16" t="n">
        <v>2021</v>
      </c>
      <c r="E207" s="12" t="s">
        <v>282</v>
      </c>
      <c r="F207" s="12" t="s">
        <v>283</v>
      </c>
      <c r="G207" s="6" t="n">
        <f aca="false">IF(COUNTIFS('Dados DCA'!$C$9:$C$564,$C207,'Dados DCA'!$E$9:$E$564,$D207,'Dados DCA'!$F$9:$F$564,"despesa_funcao_"&amp;$E207)=0,"",SUMIFS('Dados DCA'!$L$9:$L$564,'Dados DCA'!$C$9:$C$564,$C207,'Dados DCA'!$E$9:$E$564,$D207,'Dados DCA'!$F$9:$F$564,"despesa_funcao_"&amp;$E207))</f>
        <v>432928.43</v>
      </c>
      <c r="H207" s="6" t="n">
        <f aca="false">IF(OR(G207="",SUMIFS('Cálculos Municipais'!$T$9:$T$28,'Cálculos Municipais'!$C$9:$C$28,$C207,'Cálculos Municipais'!$D$9:$D$28,$D207)=0),"",G207*SUMIFS('Cálculos Municipais'!$T$9:$T$28,'Cálculos Municipais'!$C$9:$C$28,$C207,'Cálculos Municipais'!$D$9:$D$28,$D207))</f>
        <v>516448.835310336</v>
      </c>
      <c r="I207" s="8" t="n">
        <f aca="false">IF(OR(G207="",SUMIFS('Dados DCA'!$L$9:$L$564,'Dados DCA'!$C$9:$C$564,$C207,'Dados DCA'!$E$9:$E$564,$D207,'Dados DCA'!$F$9:$F$564,"despesa_empenhada_exceto_intra")=0),"",G207/SUMIFS('Dados DCA'!$L$9:$L$564,'Dados DCA'!$C$9:$C$564,$C207,'Dados DCA'!$E$9:$E$564,$D207,'Dados DCA'!$F$9:$F$564,"despesa_empenhada_exceto_intra"))</f>
        <v>0.00227126308554074</v>
      </c>
      <c r="J207" s="12" t="s">
        <v>166</v>
      </c>
    </row>
    <row r="208" customFormat="false" ht="15" hidden="false" customHeight="false" outlineLevel="0" collapsed="false">
      <c r="C208" s="12" t="s">
        <v>6</v>
      </c>
      <c r="D208" s="16" t="n">
        <v>2021</v>
      </c>
      <c r="E208" s="12" t="s">
        <v>274</v>
      </c>
      <c r="F208" s="12" t="s">
        <v>275</v>
      </c>
      <c r="G208" s="6" t="n">
        <f aca="false">IF(COUNTIFS('Dados DCA'!$C$9:$C$564,$C208,'Dados DCA'!$E$9:$E$564,$D208,'Dados DCA'!$F$9:$F$564,"despesa_funcao_"&amp;$E208)=0,"",SUMIFS('Dados DCA'!$L$9:$L$564,'Dados DCA'!$C$9:$C$564,$C208,'Dados DCA'!$E$9:$E$564,$D208,'Dados DCA'!$F$9:$F$564,"despesa_funcao_"&amp;$E208))</f>
        <v>7400217.75</v>
      </c>
      <c r="H208" s="6" t="n">
        <f aca="false">IF(OR(G208="",SUMIFS('Cálculos Municipais'!$T$9:$T$28,'Cálculos Municipais'!$C$9:$C$28,$C208,'Cálculos Municipais'!$D$9:$D$28,$D208)=0),"",G208*SUMIFS('Cálculos Municipais'!$T$9:$T$28,'Cálculos Municipais'!$C$9:$C$28,$C208,'Cálculos Municipais'!$D$9:$D$28,$D208))</f>
        <v>8827865.23867322</v>
      </c>
      <c r="I208" s="8" t="n">
        <f aca="false">IF(OR(G208="",SUMIFS('Dados DCA'!$L$9:$L$564,'Dados DCA'!$C$9:$C$564,$C208,'Dados DCA'!$E$9:$E$564,$D208,'Dados DCA'!$F$9:$F$564,"despesa_empenhada_exceto_intra")=0),"",G208/SUMIFS('Dados DCA'!$L$9:$L$564,'Dados DCA'!$C$9:$C$564,$C208,'Dados DCA'!$E$9:$E$564,$D208,'Dados DCA'!$F$9:$F$564,"despesa_empenhada_exceto_intra"))</f>
        <v>0.0388236027847336</v>
      </c>
      <c r="J208" s="12" t="s">
        <v>166</v>
      </c>
    </row>
    <row r="209" customFormat="false" ht="15" hidden="false" customHeight="false" outlineLevel="0" collapsed="false">
      <c r="C209" s="12" t="s">
        <v>6</v>
      </c>
      <c r="D209" s="16" t="n">
        <v>2022</v>
      </c>
      <c r="E209" s="12" t="s">
        <v>246</v>
      </c>
      <c r="F209" s="12" t="s">
        <v>247</v>
      </c>
      <c r="G209" s="6" t="n">
        <f aca="false">IF(COUNTIFS('Dados DCA'!$C$9:$C$564,$C209,'Dados DCA'!$E$9:$E$564,$D209,'Dados DCA'!$F$9:$F$564,"despesa_funcao_"&amp;$E209)=0,"",SUMIFS('Dados DCA'!$L$9:$L$564,'Dados DCA'!$C$9:$C$564,$C209,'Dados DCA'!$E$9:$E$564,$D209,'Dados DCA'!$F$9:$F$564,"despesa_funcao_"&amp;$E209))</f>
        <v>5876084.24</v>
      </c>
      <c r="H209" s="6" t="n">
        <f aca="false">IF(OR(G209="",SUMIFS('Cálculos Municipais'!$T$9:$T$28,'Cálculos Municipais'!$C$9:$C$28,$C209,'Cálculos Municipais'!$D$9:$D$28,$D209)=0),"",G209*SUMIFS('Cálculos Municipais'!$T$9:$T$28,'Cálculos Municipais'!$C$9:$C$28,$C209,'Cálculos Municipais'!$D$9:$D$28,$D209))</f>
        <v>6414430.45921092</v>
      </c>
      <c r="I209" s="8" t="n">
        <f aca="false">IF(OR(G209="",SUMIFS('Dados DCA'!$L$9:$L$564,'Dados DCA'!$C$9:$C$564,$C209,'Dados DCA'!$E$9:$E$564,$D209,'Dados DCA'!$F$9:$F$564,"despesa_empenhada_exceto_intra")=0),"",G209/SUMIFS('Dados DCA'!$L$9:$L$564,'Dados DCA'!$C$9:$C$564,$C209,'Dados DCA'!$E$9:$E$564,$D209,'Dados DCA'!$F$9:$F$564,"despesa_empenhada_exceto_intra"))</f>
        <v>0.023350009679382</v>
      </c>
      <c r="J209" s="12" t="s">
        <v>167</v>
      </c>
    </row>
    <row r="210" customFormat="false" ht="15" hidden="false" customHeight="false" outlineLevel="0" collapsed="false">
      <c r="C210" s="12" t="s">
        <v>6</v>
      </c>
      <c r="D210" s="16" t="n">
        <v>2022</v>
      </c>
      <c r="E210" s="12" t="s">
        <v>284</v>
      </c>
      <c r="F210" s="12" t="s">
        <v>285</v>
      </c>
      <c r="G210" s="6" t="n">
        <f aca="false">IF(COUNTIFS('Dados DCA'!$C$9:$C$564,$C210,'Dados DCA'!$E$9:$E$564,$D210,'Dados DCA'!$F$9:$F$564,"despesa_funcao_"&amp;$E210)=0,"",SUMIFS('Dados DCA'!$L$9:$L$564,'Dados DCA'!$C$9:$C$564,$C210,'Dados DCA'!$E$9:$E$564,$D210,'Dados DCA'!$F$9:$F$564,"despesa_funcao_"&amp;$E210))</f>
        <v>2970087.82</v>
      </c>
      <c r="H210" s="6" t="n">
        <f aca="false">IF(OR(G210="",SUMIFS('Cálculos Municipais'!$T$9:$T$28,'Cálculos Municipais'!$C$9:$C$28,$C210,'Cálculos Municipais'!$D$9:$D$28,$D210)=0),"",G210*SUMIFS('Cálculos Municipais'!$T$9:$T$28,'Cálculos Municipais'!$C$9:$C$28,$C210,'Cálculos Municipais'!$D$9:$D$28,$D210))</f>
        <v>3242196.84419285</v>
      </c>
      <c r="I210" s="8" t="n">
        <f aca="false">IF(OR(G210="",SUMIFS('Dados DCA'!$L$9:$L$564,'Dados DCA'!$C$9:$C$564,$C210,'Dados DCA'!$E$9:$E$564,$D210,'Dados DCA'!$F$9:$F$564,"despesa_empenhada_exceto_intra")=0),"",G210/SUMIFS('Dados DCA'!$L$9:$L$564,'Dados DCA'!$C$9:$C$564,$C210,'Dados DCA'!$E$9:$E$564,$D210,'Dados DCA'!$F$9:$F$564,"despesa_empenhada_exceto_intra"))</f>
        <v>0.0118023460034015</v>
      </c>
      <c r="J210" s="12" t="s">
        <v>167</v>
      </c>
    </row>
    <row r="211" customFormat="false" ht="15" hidden="false" customHeight="false" outlineLevel="0" collapsed="false">
      <c r="C211" s="12" t="s">
        <v>6</v>
      </c>
      <c r="D211" s="16" t="n">
        <v>2022</v>
      </c>
      <c r="E211" s="12" t="s">
        <v>248</v>
      </c>
      <c r="F211" s="12" t="s">
        <v>249</v>
      </c>
      <c r="G211" s="6" t="n">
        <f aca="false">IF(COUNTIFS('Dados DCA'!$C$9:$C$564,$C211,'Dados DCA'!$E$9:$E$564,$D211,'Dados DCA'!$F$9:$F$564,"despesa_funcao_"&amp;$E211)=0,"",SUMIFS('Dados DCA'!$L$9:$L$564,'Dados DCA'!$C$9:$C$564,$C211,'Dados DCA'!$E$9:$E$564,$D211,'Dados DCA'!$F$9:$F$564,"despesa_funcao_"&amp;$E211))</f>
        <v>19521281.88</v>
      </c>
      <c r="H211" s="6" t="n">
        <f aca="false">IF(OR(G211="",SUMIFS('Cálculos Municipais'!$T$9:$T$28,'Cálculos Municipais'!$C$9:$C$28,$C211,'Cálculos Municipais'!$D$9:$D$28,$D211)=0),"",G211*SUMIFS('Cálculos Municipais'!$T$9:$T$28,'Cálculos Municipais'!$C$9:$C$28,$C211,'Cálculos Municipais'!$D$9:$D$28,$D211))</f>
        <v>21309753.2267363</v>
      </c>
      <c r="I211" s="8" t="n">
        <f aca="false">IF(OR(G211="",SUMIFS('Dados DCA'!$L$9:$L$564,'Dados DCA'!$C$9:$C$564,$C211,'Dados DCA'!$E$9:$E$564,$D211,'Dados DCA'!$F$9:$F$564,"despesa_empenhada_exceto_intra")=0),"",G211/SUMIFS('Dados DCA'!$L$9:$L$564,'Dados DCA'!$C$9:$C$564,$C211,'Dados DCA'!$E$9:$E$564,$D211,'Dados DCA'!$F$9:$F$564,"despesa_empenhada_exceto_intra"))</f>
        <v>0.0775724278677028</v>
      </c>
      <c r="J211" s="12" t="s">
        <v>167</v>
      </c>
    </row>
    <row r="212" customFormat="false" ht="15" hidden="false" customHeight="false" outlineLevel="0" collapsed="false">
      <c r="C212" s="12" t="s">
        <v>6</v>
      </c>
      <c r="D212" s="16" t="n">
        <v>2022</v>
      </c>
      <c r="E212" s="12" t="s">
        <v>276</v>
      </c>
      <c r="F212" s="12" t="s">
        <v>277</v>
      </c>
      <c r="G212" s="6" t="n">
        <f aca="false">IF(COUNTIFS('Dados DCA'!$C$9:$C$564,$C212,'Dados DCA'!$E$9:$E$564,$D212,'Dados DCA'!$F$9:$F$564,"despesa_funcao_"&amp;$E212)=0,"",SUMIFS('Dados DCA'!$L$9:$L$564,'Dados DCA'!$C$9:$C$564,$C212,'Dados DCA'!$E$9:$E$564,$D212,'Dados DCA'!$F$9:$F$564,"despesa_funcao_"&amp;$E212))</f>
        <v>219.9</v>
      </c>
      <c r="H212" s="6" t="n">
        <f aca="false">IF(OR(G212="",SUMIFS('Cálculos Municipais'!$T$9:$T$28,'Cálculos Municipais'!$C$9:$C$28,$C212,'Cálculos Municipais'!$D$9:$D$28,$D212)=0),"",G212*SUMIFS('Cálculos Municipais'!$T$9:$T$28,'Cálculos Municipais'!$C$9:$C$28,$C212,'Cálculos Municipais'!$D$9:$D$28,$D212))</f>
        <v>240.04646638294</v>
      </c>
      <c r="I212" s="8" t="n">
        <f aca="false">IF(OR(G212="",SUMIFS('Dados DCA'!$L$9:$L$564,'Dados DCA'!$C$9:$C$564,$C212,'Dados DCA'!$E$9:$E$564,$D212,'Dados DCA'!$F$9:$F$564,"despesa_empenhada_exceto_intra")=0),"",G212/SUMIFS('Dados DCA'!$L$9:$L$564,'Dados DCA'!$C$9:$C$564,$C212,'Dados DCA'!$E$9:$E$564,$D212,'Dados DCA'!$F$9:$F$564,"despesa_empenhada_exceto_intra"))</f>
        <v>8.73824628575459E-007</v>
      </c>
      <c r="J212" s="12" t="s">
        <v>167</v>
      </c>
    </row>
    <row r="213" customFormat="false" ht="15" hidden="false" customHeight="false" outlineLevel="0" collapsed="false">
      <c r="C213" s="12" t="s">
        <v>6</v>
      </c>
      <c r="D213" s="16" t="n">
        <v>2022</v>
      </c>
      <c r="E213" s="12" t="s">
        <v>250</v>
      </c>
      <c r="F213" s="12" t="s">
        <v>251</v>
      </c>
      <c r="G213" s="6" t="n">
        <f aca="false">IF(COUNTIFS('Dados DCA'!$C$9:$C$564,$C213,'Dados DCA'!$E$9:$E$564,$D213,'Dados DCA'!$F$9:$F$564,"despesa_funcao_"&amp;$E213)=0,"",SUMIFS('Dados DCA'!$L$9:$L$564,'Dados DCA'!$C$9:$C$564,$C213,'Dados DCA'!$E$9:$E$564,$D213,'Dados DCA'!$F$9:$F$564,"despesa_funcao_"&amp;$E213))</f>
        <v>4326555.85</v>
      </c>
      <c r="H213" s="6" t="n">
        <f aca="false">IF(OR(G213="",SUMIFS('Cálculos Municipais'!$T$9:$T$28,'Cálculos Municipais'!$C$9:$C$28,$C213,'Cálculos Municipais'!$D$9:$D$28,$D213)=0),"",G213*SUMIFS('Cálculos Municipais'!$T$9:$T$28,'Cálculos Municipais'!$C$9:$C$28,$C213,'Cálculos Municipais'!$D$9:$D$28,$D213))</f>
        <v>4722939.71532941</v>
      </c>
      <c r="I213" s="8" t="n">
        <f aca="false">IF(OR(G213="",SUMIFS('Dados DCA'!$L$9:$L$564,'Dados DCA'!$C$9:$C$564,$C213,'Dados DCA'!$E$9:$E$564,$D213,'Dados DCA'!$F$9:$F$564,"despesa_empenhada_exceto_intra")=0),"",G213/SUMIFS('Dados DCA'!$L$9:$L$564,'Dados DCA'!$C$9:$C$564,$C213,'Dados DCA'!$E$9:$E$564,$D213,'Dados DCA'!$F$9:$F$564,"despesa_empenhada_exceto_intra"))</f>
        <v>0.0171925923539665</v>
      </c>
      <c r="J213" s="12" t="s">
        <v>167</v>
      </c>
    </row>
    <row r="214" customFormat="false" ht="15" hidden="false" customHeight="false" outlineLevel="0" collapsed="false">
      <c r="C214" s="12" t="s">
        <v>6</v>
      </c>
      <c r="D214" s="16" t="n">
        <v>2022</v>
      </c>
      <c r="E214" s="12" t="s">
        <v>252</v>
      </c>
      <c r="F214" s="12" t="s">
        <v>253</v>
      </c>
      <c r="G214" s="6" t="n">
        <f aca="false">IF(COUNTIFS('Dados DCA'!$C$9:$C$564,$C214,'Dados DCA'!$E$9:$E$564,$D214,'Dados DCA'!$F$9:$F$564,"despesa_funcao_"&amp;$E214)=0,"",SUMIFS('Dados DCA'!$L$9:$L$564,'Dados DCA'!$C$9:$C$564,$C214,'Dados DCA'!$E$9:$E$564,$D214,'Dados DCA'!$F$9:$F$564,"despesa_funcao_"&amp;$E214))</f>
        <v>26890557.43</v>
      </c>
      <c r="H214" s="6" t="n">
        <f aca="false">IF(OR(G214="",SUMIFS('Cálculos Municipais'!$T$9:$T$28,'Cálculos Municipais'!$C$9:$C$28,$C214,'Cálculos Municipais'!$D$9:$D$28,$D214)=0),"",G214*SUMIFS('Cálculos Municipais'!$T$9:$T$28,'Cálculos Municipais'!$C$9:$C$28,$C214,'Cálculos Municipais'!$D$9:$D$28,$D214))</f>
        <v>29354175.9442429</v>
      </c>
      <c r="I214" s="8" t="n">
        <f aca="false">IF(OR(G214="",SUMIFS('Dados DCA'!$L$9:$L$564,'Dados DCA'!$C$9:$C$564,$C214,'Dados DCA'!$E$9:$E$564,$D214,'Dados DCA'!$F$9:$F$564,"despesa_empenhada_exceto_intra")=0),"",G214/SUMIFS('Dados DCA'!$L$9:$L$564,'Dados DCA'!$C$9:$C$564,$C214,'Dados DCA'!$E$9:$E$564,$D214,'Dados DCA'!$F$9:$F$564,"despesa_empenhada_exceto_intra"))</f>
        <v>0.106855986168517</v>
      </c>
      <c r="J214" s="12" t="s">
        <v>167</v>
      </c>
    </row>
    <row r="215" customFormat="false" ht="15" hidden="false" customHeight="false" outlineLevel="0" collapsed="false">
      <c r="C215" s="12" t="s">
        <v>6</v>
      </c>
      <c r="D215" s="16" t="n">
        <v>2022</v>
      </c>
      <c r="E215" s="12" t="s">
        <v>254</v>
      </c>
      <c r="F215" s="12" t="s">
        <v>255</v>
      </c>
      <c r="G215" s="6" t="n">
        <f aca="false">IF(COUNTIFS('Dados DCA'!$C$9:$C$564,$C215,'Dados DCA'!$E$9:$E$564,$D215,'Dados DCA'!$F$9:$F$564,"despesa_funcao_"&amp;$E215)=0,"",SUMIFS('Dados DCA'!$L$9:$L$564,'Dados DCA'!$C$9:$C$564,$C215,'Dados DCA'!$E$9:$E$564,$D215,'Dados DCA'!$F$9:$F$564,"despesa_funcao_"&amp;$E215))</f>
        <v>50385404.09</v>
      </c>
      <c r="H215" s="6" t="n">
        <f aca="false">IF(OR(G215="",SUMIFS('Cálculos Municipais'!$T$9:$T$28,'Cálculos Municipais'!$C$9:$C$28,$C215,'Cálculos Municipais'!$D$9:$D$28,$D215)=0),"",G215*SUMIFS('Cálculos Municipais'!$T$9:$T$28,'Cálculos Municipais'!$C$9:$C$28,$C215,'Cálculos Municipais'!$D$9:$D$28,$D215))</f>
        <v>55001538.0131015</v>
      </c>
      <c r="I215" s="8" t="n">
        <f aca="false">IF(OR(G215="",SUMIFS('Dados DCA'!$L$9:$L$564,'Dados DCA'!$C$9:$C$564,$C215,'Dados DCA'!$E$9:$E$564,$D215,'Dados DCA'!$F$9:$F$564,"despesa_empenhada_exceto_intra")=0),"",G215/SUMIFS('Dados DCA'!$L$9:$L$564,'Dados DCA'!$C$9:$C$564,$C215,'Dados DCA'!$E$9:$E$564,$D215,'Dados DCA'!$F$9:$F$564,"despesa_empenhada_exceto_intra"))</f>
        <v>0.200218312935738</v>
      </c>
      <c r="J215" s="12" t="s">
        <v>167</v>
      </c>
    </row>
    <row r="216" customFormat="false" ht="15" hidden="false" customHeight="false" outlineLevel="0" collapsed="false">
      <c r="C216" s="12" t="s">
        <v>6</v>
      </c>
      <c r="D216" s="16" t="n">
        <v>2022</v>
      </c>
      <c r="E216" s="12" t="s">
        <v>258</v>
      </c>
      <c r="F216" s="12" t="s">
        <v>259</v>
      </c>
      <c r="G216" s="6" t="n">
        <f aca="false">IF(COUNTIFS('Dados DCA'!$C$9:$C$564,$C216,'Dados DCA'!$E$9:$E$564,$D216,'Dados DCA'!$F$9:$F$564,"despesa_funcao_"&amp;$E216)=0,"",SUMIFS('Dados DCA'!$L$9:$L$564,'Dados DCA'!$C$9:$C$564,$C216,'Dados DCA'!$E$9:$E$564,$D216,'Dados DCA'!$F$9:$F$564,"despesa_funcao_"&amp;$E216))</f>
        <v>98716666.79</v>
      </c>
      <c r="H216" s="6" t="n">
        <f aca="false">IF(OR(G216="",SUMIFS('Cálculos Municipais'!$T$9:$T$28,'Cálculos Municipais'!$C$9:$C$28,$C216,'Cálculos Municipais'!$D$9:$D$28,$D216)=0),"",G216*SUMIFS('Cálculos Municipais'!$T$9:$T$28,'Cálculos Municipais'!$C$9:$C$28,$C216,'Cálculos Municipais'!$D$9:$D$28,$D216))</f>
        <v>107760741.409921</v>
      </c>
      <c r="I216" s="8" t="n">
        <f aca="false">IF(OR(G216="",SUMIFS('Dados DCA'!$L$9:$L$564,'Dados DCA'!$C$9:$C$564,$C216,'Dados DCA'!$E$9:$E$564,$D216,'Dados DCA'!$F$9:$F$564,"despesa_empenhada_exceto_intra")=0),"",G216/SUMIFS('Dados DCA'!$L$9:$L$564,'Dados DCA'!$C$9:$C$564,$C216,'Dados DCA'!$E$9:$E$564,$D216,'Dados DCA'!$F$9:$F$564,"despesa_empenhada_exceto_intra"))</f>
        <v>0.39227400951332</v>
      </c>
      <c r="J216" s="12" t="s">
        <v>167</v>
      </c>
    </row>
    <row r="217" customFormat="false" ht="15" hidden="false" customHeight="false" outlineLevel="0" collapsed="false">
      <c r="C217" s="12" t="s">
        <v>6</v>
      </c>
      <c r="D217" s="16" t="n">
        <v>2022</v>
      </c>
      <c r="E217" s="12" t="s">
        <v>260</v>
      </c>
      <c r="F217" s="12" t="s">
        <v>261</v>
      </c>
      <c r="G217" s="6" t="n">
        <f aca="false">IF(COUNTIFS('Dados DCA'!$C$9:$C$564,$C217,'Dados DCA'!$E$9:$E$564,$D217,'Dados DCA'!$F$9:$F$564,"despesa_funcao_"&amp;$E217)=0,"",SUMIFS('Dados DCA'!$L$9:$L$564,'Dados DCA'!$C$9:$C$564,$C217,'Dados DCA'!$E$9:$E$564,$D217,'Dados DCA'!$F$9:$F$564,"despesa_funcao_"&amp;$E217))</f>
        <v>5596341.12</v>
      </c>
      <c r="H217" s="6" t="n">
        <f aca="false">IF(OR(G217="",SUMIFS('Cálculos Municipais'!$T$9:$T$28,'Cálculos Municipais'!$C$9:$C$28,$C217,'Cálculos Municipais'!$D$9:$D$28,$D217)=0),"",G217*SUMIFS('Cálculos Municipais'!$T$9:$T$28,'Cálculos Municipais'!$C$9:$C$28,$C217,'Cálculos Municipais'!$D$9:$D$28,$D217))</f>
        <v>6109058.25615982</v>
      </c>
      <c r="I217" s="8" t="n">
        <f aca="false">IF(OR(G217="",SUMIFS('Dados DCA'!$L$9:$L$564,'Dados DCA'!$C$9:$C$564,$C217,'Dados DCA'!$E$9:$E$564,$D217,'Dados DCA'!$F$9:$F$564,"despesa_empenhada_exceto_intra")=0),"",G217/SUMIFS('Dados DCA'!$L$9:$L$564,'Dados DCA'!$C$9:$C$564,$C217,'Dados DCA'!$E$9:$E$564,$D217,'Dados DCA'!$F$9:$F$564,"despesa_empenhada_exceto_intra"))</f>
        <v>0.0222383842681472</v>
      </c>
      <c r="J217" s="12" t="s">
        <v>167</v>
      </c>
    </row>
    <row r="218" customFormat="false" ht="15" hidden="false" customHeight="false" outlineLevel="0" collapsed="false">
      <c r="C218" s="12" t="s">
        <v>6</v>
      </c>
      <c r="D218" s="16" t="n">
        <v>2022</v>
      </c>
      <c r="E218" s="12" t="s">
        <v>278</v>
      </c>
      <c r="F218" s="12" t="s">
        <v>279</v>
      </c>
      <c r="G218" s="6" t="n">
        <f aca="false">IF(COUNTIFS('Dados DCA'!$C$9:$C$564,$C218,'Dados DCA'!$E$9:$E$564,$D218,'Dados DCA'!$F$9:$F$564,"despesa_funcao_"&amp;$E218)=0,"",SUMIFS('Dados DCA'!$L$9:$L$564,'Dados DCA'!$C$9:$C$564,$C218,'Dados DCA'!$E$9:$E$564,$D218,'Dados DCA'!$F$9:$F$564,"despesa_funcao_"&amp;$E218))</f>
        <v>341584.99</v>
      </c>
      <c r="H218" s="6" t="n">
        <f aca="false">IF(OR(G218="",SUMIFS('Cálculos Municipais'!$T$9:$T$28,'Cálculos Municipais'!$C$9:$C$28,$C218,'Cálculos Municipais'!$D$9:$D$28,$D218)=0),"",G218*SUMIFS('Cálculos Municipais'!$T$9:$T$28,'Cálculos Municipais'!$C$9:$C$28,$C218,'Cálculos Municipais'!$D$9:$D$28,$D218))</f>
        <v>372879.808180772</v>
      </c>
      <c r="I218" s="8" t="n">
        <f aca="false">IF(OR(G218="",SUMIFS('Dados DCA'!$L$9:$L$564,'Dados DCA'!$C$9:$C$564,$C218,'Dados DCA'!$E$9:$E$564,$D218,'Dados DCA'!$F$9:$F$564,"despesa_empenhada_exceto_intra")=0),"",G218/SUMIFS('Dados DCA'!$L$9:$L$564,'Dados DCA'!$C$9:$C$564,$C218,'Dados DCA'!$E$9:$E$564,$D218,'Dados DCA'!$F$9:$F$564,"despesa_empenhada_exceto_intra"))</f>
        <v>0.00135736869947113</v>
      </c>
      <c r="J218" s="12" t="s">
        <v>167</v>
      </c>
    </row>
    <row r="219" customFormat="false" ht="15" hidden="false" customHeight="false" outlineLevel="0" collapsed="false">
      <c r="C219" s="12" t="s">
        <v>6</v>
      </c>
      <c r="D219" s="16" t="n">
        <v>2022</v>
      </c>
      <c r="E219" s="12" t="s">
        <v>262</v>
      </c>
      <c r="F219" s="12" t="s">
        <v>263</v>
      </c>
      <c r="G219" s="6" t="n">
        <f aca="false">IF(COUNTIFS('Dados DCA'!$C$9:$C$564,$C219,'Dados DCA'!$E$9:$E$564,$D219,'Dados DCA'!$F$9:$F$564,"despesa_funcao_"&amp;$E219)=0,"",SUMIFS('Dados DCA'!$L$9:$L$564,'Dados DCA'!$C$9:$C$564,$C219,'Dados DCA'!$E$9:$E$564,$D219,'Dados DCA'!$F$9:$F$564,"despesa_funcao_"&amp;$E219))</f>
        <v>22496716.62</v>
      </c>
      <c r="H219" s="6" t="n">
        <f aca="false">IF(OR(G219="",SUMIFS('Cálculos Municipais'!$T$9:$T$28,'Cálculos Municipais'!$C$9:$C$28,$C219,'Cálculos Municipais'!$D$9:$D$28,$D219)=0),"",G219*SUMIFS('Cálculos Municipais'!$T$9:$T$28,'Cálculos Municipais'!$C$9:$C$28,$C219,'Cálculos Municipais'!$D$9:$D$28,$D219))</f>
        <v>24557786.8569775</v>
      </c>
      <c r="I219" s="8" t="n">
        <f aca="false">IF(OR(G219="",SUMIFS('Dados DCA'!$L$9:$L$564,'Dados DCA'!$C$9:$C$564,$C219,'Dados DCA'!$E$9:$E$564,$D219,'Dados DCA'!$F$9:$F$564,"despesa_empenhada_exceto_intra")=0),"",G219/SUMIFS('Dados DCA'!$L$9:$L$564,'Dados DCA'!$C$9:$C$564,$C219,'Dados DCA'!$E$9:$E$564,$D219,'Dados DCA'!$F$9:$F$564,"despesa_empenhada_exceto_intra"))</f>
        <v>0.0893960211215956</v>
      </c>
      <c r="J219" s="12" t="s">
        <v>167</v>
      </c>
    </row>
    <row r="220" customFormat="false" ht="15" hidden="false" customHeight="false" outlineLevel="0" collapsed="false">
      <c r="C220" s="12" t="s">
        <v>6</v>
      </c>
      <c r="D220" s="16" t="n">
        <v>2022</v>
      </c>
      <c r="E220" s="12" t="s">
        <v>264</v>
      </c>
      <c r="F220" s="12" t="s">
        <v>265</v>
      </c>
      <c r="G220" s="6" t="n">
        <f aca="false">IF(COUNTIFS('Dados DCA'!$C$9:$C$564,$C220,'Dados DCA'!$E$9:$E$564,$D220,'Dados DCA'!$F$9:$F$564,"despesa_funcao_"&amp;$E220)=0,"",SUMIFS('Dados DCA'!$L$9:$L$564,'Dados DCA'!$C$9:$C$564,$C220,'Dados DCA'!$E$9:$E$564,$D220,'Dados DCA'!$F$9:$F$564,"despesa_funcao_"&amp;$E220))</f>
        <v>1005117.79</v>
      </c>
      <c r="H220" s="6" t="n">
        <f aca="false">IF(OR(G220="",SUMIFS('Cálculos Municipais'!$T$9:$T$28,'Cálculos Municipais'!$C$9:$C$28,$C220,'Cálculos Municipais'!$D$9:$D$28,$D220)=0),"",G220*SUMIFS('Cálculos Municipais'!$T$9:$T$28,'Cálculos Municipais'!$C$9:$C$28,$C220,'Cálculos Municipais'!$D$9:$D$28,$D220))</f>
        <v>1097203.15501651</v>
      </c>
      <c r="I220" s="8" t="n">
        <f aca="false">IF(OR(G220="",SUMIFS('Dados DCA'!$L$9:$L$564,'Dados DCA'!$C$9:$C$564,$C220,'Dados DCA'!$E$9:$E$564,$D220,'Dados DCA'!$F$9:$F$564,"despesa_empenhada_exceto_intra")=0),"",G220/SUMIFS('Dados DCA'!$L$9:$L$564,'Dados DCA'!$C$9:$C$564,$C220,'Dados DCA'!$E$9:$E$564,$D220,'Dados DCA'!$F$9:$F$564,"despesa_empenhada_exceto_intra"))</f>
        <v>0.00399407312197061</v>
      </c>
      <c r="J220" s="12" t="s">
        <v>167</v>
      </c>
    </row>
    <row r="221" customFormat="false" ht="15" hidden="false" customHeight="false" outlineLevel="0" collapsed="false">
      <c r="C221" s="12" t="s">
        <v>6</v>
      </c>
      <c r="D221" s="16" t="n">
        <v>2022</v>
      </c>
      <c r="E221" s="12" t="s">
        <v>266</v>
      </c>
      <c r="F221" s="12" t="s">
        <v>267</v>
      </c>
      <c r="G221" s="6" t="n">
        <f aca="false">IF(COUNTIFS('Dados DCA'!$C$9:$C$564,$C221,'Dados DCA'!$E$9:$E$564,$D221,'Dados DCA'!$F$9:$F$564,"despesa_funcao_"&amp;$E221)=0,"",SUMIFS('Dados DCA'!$L$9:$L$564,'Dados DCA'!$C$9:$C$564,$C221,'Dados DCA'!$E$9:$E$564,$D221,'Dados DCA'!$F$9:$F$564,"despesa_funcao_"&amp;$E221))</f>
        <v>1138725.7</v>
      </c>
      <c r="H221" s="6" t="n">
        <f aca="false">IF(OR(G221="",SUMIFS('Cálculos Municipais'!$T$9:$T$28,'Cálculos Municipais'!$C$9:$C$28,$C221,'Cálculos Municipais'!$D$9:$D$28,$D221)=0),"",G221*SUMIFS('Cálculos Municipais'!$T$9:$T$28,'Cálculos Municipais'!$C$9:$C$28,$C221,'Cálculos Municipais'!$D$9:$D$28,$D221))</f>
        <v>1243051.75290787</v>
      </c>
      <c r="I221" s="8" t="n">
        <f aca="false">IF(OR(G221="",SUMIFS('Dados DCA'!$L$9:$L$564,'Dados DCA'!$C$9:$C$564,$C221,'Dados DCA'!$E$9:$E$564,$D221,'Dados DCA'!$F$9:$F$564,"despesa_empenhada_exceto_intra")=0),"",G221/SUMIFS('Dados DCA'!$L$9:$L$564,'Dados DCA'!$C$9:$C$564,$C221,'Dados DCA'!$E$9:$E$564,$D221,'Dados DCA'!$F$9:$F$564,"despesa_empenhada_exceto_intra"))</f>
        <v>0.00452499573375093</v>
      </c>
      <c r="J221" s="12" t="s">
        <v>167</v>
      </c>
    </row>
    <row r="222" customFormat="false" ht="15" hidden="false" customHeight="false" outlineLevel="0" collapsed="false">
      <c r="C222" s="12" t="s">
        <v>6</v>
      </c>
      <c r="D222" s="16" t="n">
        <v>2022</v>
      </c>
      <c r="E222" s="12" t="s">
        <v>268</v>
      </c>
      <c r="F222" s="12" t="s">
        <v>269</v>
      </c>
      <c r="G222" s="6" t="n">
        <f aca="false">IF(COUNTIFS('Dados DCA'!$C$9:$C$564,$C222,'Dados DCA'!$E$9:$E$564,$D222,'Dados DCA'!$F$9:$F$564,"despesa_funcao_"&amp;$E222)=0,"",SUMIFS('Dados DCA'!$L$9:$L$564,'Dados DCA'!$C$9:$C$564,$C222,'Dados DCA'!$E$9:$E$564,$D222,'Dados DCA'!$F$9:$F$564,"despesa_funcao_"&amp;$E222))</f>
        <v>5571382.45</v>
      </c>
      <c r="H222" s="6" t="n">
        <f aca="false">IF(OR(G222="",SUMIFS('Cálculos Municipais'!$T$9:$T$28,'Cálculos Municipais'!$C$9:$C$28,$C222,'Cálculos Municipais'!$D$9:$D$28,$D222)=0),"",G222*SUMIFS('Cálculos Municipais'!$T$9:$T$28,'Cálculos Municipais'!$C$9:$C$28,$C222,'Cálculos Municipais'!$D$9:$D$28,$D222))</f>
        <v>6081812.96039302</v>
      </c>
      <c r="I222" s="8" t="n">
        <f aca="false">IF(OR(G222="",SUMIFS('Dados DCA'!$L$9:$L$564,'Dados DCA'!$C$9:$C$564,$C222,'Dados DCA'!$E$9:$E$564,$D222,'Dados DCA'!$F$9:$F$564,"despesa_empenhada_exceto_intra")=0),"",G222/SUMIFS('Dados DCA'!$L$9:$L$564,'Dados DCA'!$C$9:$C$564,$C222,'Dados DCA'!$E$9:$E$564,$D222,'Dados DCA'!$F$9:$F$564,"despesa_empenhada_exceto_intra"))</f>
        <v>0.0221392050933292</v>
      </c>
      <c r="J222" s="12" t="s">
        <v>167</v>
      </c>
    </row>
    <row r="223" customFormat="false" ht="15" hidden="false" customHeight="false" outlineLevel="0" collapsed="false">
      <c r="C223" s="12" t="s">
        <v>6</v>
      </c>
      <c r="D223" s="16" t="n">
        <v>2022</v>
      </c>
      <c r="E223" s="12" t="s">
        <v>288</v>
      </c>
      <c r="F223" s="12" t="s">
        <v>289</v>
      </c>
      <c r="G223" s="6" t="n">
        <f aca="false">IF(COUNTIFS('Dados DCA'!$C$9:$C$564,$C223,'Dados DCA'!$E$9:$E$564,$D223,'Dados DCA'!$F$9:$F$564,"despesa_funcao_"&amp;$E223)=0,"",SUMIFS('Dados DCA'!$L$9:$L$564,'Dados DCA'!$C$9:$C$564,$C223,'Dados DCA'!$E$9:$E$564,$D223,'Dados DCA'!$F$9:$F$564,"despesa_funcao_"&amp;$E223))</f>
        <v>547724.34</v>
      </c>
      <c r="H223" s="6" t="n">
        <f aca="false">IF(OR(G223="",SUMIFS('Cálculos Municipais'!$T$9:$T$28,'Cálculos Municipais'!$C$9:$C$28,$C223,'Cálculos Municipais'!$D$9:$D$28,$D223)=0),"",G223*SUMIFS('Cálculos Municipais'!$T$9:$T$28,'Cálculos Municipais'!$C$9:$C$28,$C223,'Cálculos Municipais'!$D$9:$D$28,$D223))</f>
        <v>597904.922096079</v>
      </c>
      <c r="I223" s="8" t="n">
        <f aca="false">IF(OR(G223="",SUMIFS('Dados DCA'!$L$9:$L$564,'Dados DCA'!$C$9:$C$564,$C223,'Dados DCA'!$E$9:$E$564,$D223,'Dados DCA'!$F$9:$F$564,"despesa_empenhada_exceto_intra")=0),"",G223/SUMIFS('Dados DCA'!$L$9:$L$564,'Dados DCA'!$C$9:$C$564,$C223,'Dados DCA'!$E$9:$E$564,$D223,'Dados DCA'!$F$9:$F$564,"despesa_empenhada_exceto_intra"))</f>
        <v>0.00217651213261591</v>
      </c>
      <c r="J223" s="12" t="s">
        <v>167</v>
      </c>
    </row>
    <row r="224" customFormat="false" ht="15" hidden="false" customHeight="false" outlineLevel="0" collapsed="false">
      <c r="C224" s="12" t="s">
        <v>6</v>
      </c>
      <c r="D224" s="16" t="n">
        <v>2022</v>
      </c>
      <c r="E224" s="12" t="s">
        <v>280</v>
      </c>
      <c r="F224" s="12" t="s">
        <v>281</v>
      </c>
      <c r="G224" s="6" t="n">
        <f aca="false">IF(COUNTIFS('Dados DCA'!$C$9:$C$564,$C224,'Dados DCA'!$E$9:$E$564,$D224,'Dados DCA'!$F$9:$F$564,"despesa_funcao_"&amp;$E224)=0,"",SUMIFS('Dados DCA'!$L$9:$L$564,'Dados DCA'!$C$9:$C$564,$C224,'Dados DCA'!$E$9:$E$564,$D224,'Dados DCA'!$F$9:$F$564,"despesa_funcao_"&amp;$E224))</f>
        <v>1319618.11</v>
      </c>
      <c r="H224" s="6" t="n">
        <f aca="false">IF(OR(G224="",SUMIFS('Cálculos Municipais'!$T$9:$T$28,'Cálculos Municipais'!$C$9:$C$28,$C224,'Cálculos Municipais'!$D$9:$D$28,$D224)=0),"",G224*SUMIFS('Cálculos Municipais'!$T$9:$T$28,'Cálculos Municipais'!$C$9:$C$28,$C224,'Cálculos Municipais'!$D$9:$D$28,$D224))</f>
        <v>1440516.8907705</v>
      </c>
      <c r="I224" s="8" t="n">
        <f aca="false">IF(OR(G224="",SUMIFS('Dados DCA'!$L$9:$L$564,'Dados DCA'!$C$9:$C$564,$C224,'Dados DCA'!$E$9:$E$564,$D224,'Dados DCA'!$F$9:$F$564,"despesa_empenhada_exceto_intra")=0),"",G224/SUMIFS('Dados DCA'!$L$9:$L$564,'Dados DCA'!$C$9:$C$564,$C224,'Dados DCA'!$E$9:$E$564,$D224,'Dados DCA'!$F$9:$F$564,"despesa_empenhada_exceto_intra"))</f>
        <v>0.00524381448309322</v>
      </c>
      <c r="J224" s="12" t="s">
        <v>167</v>
      </c>
    </row>
    <row r="225" customFormat="false" ht="15" hidden="false" customHeight="false" outlineLevel="0" collapsed="false">
      <c r="C225" s="12" t="s">
        <v>6</v>
      </c>
      <c r="D225" s="16" t="n">
        <v>2022</v>
      </c>
      <c r="E225" s="12" t="s">
        <v>272</v>
      </c>
      <c r="F225" s="12" t="s">
        <v>273</v>
      </c>
      <c r="G225" s="6" t="n">
        <f aca="false">IF(COUNTIFS('Dados DCA'!$C$9:$C$564,$C225,'Dados DCA'!$E$9:$E$564,$D225,'Dados DCA'!$F$9:$F$564,"despesa_funcao_"&amp;$E225)=0,"",SUMIFS('Dados DCA'!$L$9:$L$564,'Dados DCA'!$C$9:$C$564,$C225,'Dados DCA'!$E$9:$E$564,$D225,'Dados DCA'!$F$9:$F$564,"despesa_funcao_"&amp;$E225))</f>
        <v>911862.43</v>
      </c>
      <c r="H225" s="6" t="n">
        <f aca="false">IF(OR(G225="",SUMIFS('Cálculos Municipais'!$T$9:$T$28,'Cálculos Municipais'!$C$9:$C$28,$C225,'Cálculos Municipais'!$D$9:$D$28,$D225)=0),"",G225*SUMIFS('Cálculos Municipais'!$T$9:$T$28,'Cálculos Municipais'!$C$9:$C$28,$C225,'Cálculos Municipais'!$D$9:$D$28,$D225))</f>
        <v>995404.066161259</v>
      </c>
      <c r="I225" s="8" t="n">
        <f aca="false">IF(OR(G225="",SUMIFS('Dados DCA'!$L$9:$L$564,'Dados DCA'!$C$9:$C$564,$C225,'Dados DCA'!$E$9:$E$564,$D225,'Dados DCA'!$F$9:$F$564,"despesa_empenhada_exceto_intra")=0),"",G225/SUMIFS('Dados DCA'!$L$9:$L$564,'Dados DCA'!$C$9:$C$564,$C225,'Dados DCA'!$E$9:$E$564,$D225,'Dados DCA'!$F$9:$F$564,"despesa_empenhada_exceto_intra"))</f>
        <v>0.00362350090589662</v>
      </c>
      <c r="J225" s="12" t="s">
        <v>167</v>
      </c>
    </row>
    <row r="226" customFormat="false" ht="15" hidden="false" customHeight="false" outlineLevel="0" collapsed="false">
      <c r="C226" s="12" t="s">
        <v>6</v>
      </c>
      <c r="D226" s="16" t="n">
        <v>2022</v>
      </c>
      <c r="E226" s="12" t="s">
        <v>282</v>
      </c>
      <c r="F226" s="12" t="s">
        <v>283</v>
      </c>
      <c r="G226" s="6" t="n">
        <f aca="false">IF(COUNTIFS('Dados DCA'!$C$9:$C$564,$C226,'Dados DCA'!$E$9:$E$564,$D226,'Dados DCA'!$F$9:$F$564,"despesa_funcao_"&amp;$E226)=0,"",SUMIFS('Dados DCA'!$L$9:$L$564,'Dados DCA'!$C$9:$C$564,$C226,'Dados DCA'!$E$9:$E$564,$D226,'Dados DCA'!$F$9:$F$564,"despesa_funcao_"&amp;$E226))</f>
        <v>815002.81</v>
      </c>
      <c r="H226" s="6" t="n">
        <f aca="false">IF(OR(G226="",SUMIFS('Cálculos Municipais'!$T$9:$T$28,'Cálculos Municipais'!$C$9:$C$28,$C226,'Cálculos Municipais'!$D$9:$D$28,$D226)=0),"",G226*SUMIFS('Cálculos Municipais'!$T$9:$T$28,'Cálculos Municipais'!$C$9:$C$28,$C226,'Cálculos Municipais'!$D$9:$D$28,$D226))</f>
        <v>889670.507651962</v>
      </c>
      <c r="I226" s="8" t="n">
        <f aca="false">IF(OR(G226="",SUMIFS('Dados DCA'!$L$9:$L$564,'Dados DCA'!$C$9:$C$564,$C226,'Dados DCA'!$E$9:$E$564,$D226,'Dados DCA'!$F$9:$F$564,"despesa_empenhada_exceto_intra")=0),"",G226/SUMIFS('Dados DCA'!$L$9:$L$564,'Dados DCA'!$C$9:$C$564,$C226,'Dados DCA'!$E$9:$E$564,$D226,'Dados DCA'!$F$9:$F$564,"despesa_empenhada_exceto_intra"))</f>
        <v>0.00323860631076037</v>
      </c>
      <c r="J226" s="12" t="s">
        <v>167</v>
      </c>
    </row>
    <row r="227" customFormat="false" ht="15" hidden="false" customHeight="false" outlineLevel="0" collapsed="false">
      <c r="C227" s="12" t="s">
        <v>6</v>
      </c>
      <c r="D227" s="16" t="n">
        <v>2022</v>
      </c>
      <c r="E227" s="12" t="s">
        <v>274</v>
      </c>
      <c r="F227" s="12" t="s">
        <v>275</v>
      </c>
      <c r="G227" s="6" t="n">
        <f aca="false">IF(COUNTIFS('Dados DCA'!$C$9:$C$564,$C227,'Dados DCA'!$E$9:$E$564,$D227,'Dados DCA'!$F$9:$F$564,"despesa_funcao_"&amp;$E227)=0,"",SUMIFS('Dados DCA'!$L$9:$L$564,'Dados DCA'!$C$9:$C$564,$C227,'Dados DCA'!$E$9:$E$564,$D227,'Dados DCA'!$F$9:$F$564,"despesa_funcao_"&amp;$E227))</f>
        <v>3221391.3</v>
      </c>
      <c r="H227" s="6" t="n">
        <f aca="false">IF(OR(G227="",SUMIFS('Cálculos Municipais'!$T$9:$T$28,'Cálculos Municipais'!$C$9:$C$28,$C227,'Cálculos Municipais'!$D$9:$D$28,$D227)=0),"",G227*SUMIFS('Cálculos Municipais'!$T$9:$T$28,'Cálculos Municipais'!$C$9:$C$28,$C227,'Cálculos Municipais'!$D$9:$D$28,$D227))</f>
        <v>3516523.8672203</v>
      </c>
      <c r="I227" s="8" t="n">
        <f aca="false">IF(OR(G227="",SUMIFS('Dados DCA'!$L$9:$L$564,'Dados DCA'!$C$9:$C$564,$C227,'Dados DCA'!$E$9:$E$564,$D227,'Dados DCA'!$F$9:$F$564,"despesa_empenhada_exceto_intra")=0),"",G227/SUMIFS('Dados DCA'!$L$9:$L$564,'Dados DCA'!$C$9:$C$564,$C227,'Dados DCA'!$E$9:$E$564,$D227,'Dados DCA'!$F$9:$F$564,"despesa_empenhada_exceto_intra"))</f>
        <v>0.0128009597827136</v>
      </c>
      <c r="J227" s="12" t="s">
        <v>167</v>
      </c>
    </row>
    <row r="228" customFormat="false" ht="15" hidden="false" customHeight="false" outlineLevel="0" collapsed="false">
      <c r="C228" s="12" t="s">
        <v>6</v>
      </c>
      <c r="D228" s="16" t="n">
        <v>2023</v>
      </c>
      <c r="E228" s="12" t="s">
        <v>246</v>
      </c>
      <c r="F228" s="12" t="s">
        <v>247</v>
      </c>
      <c r="G228" s="6" t="n">
        <f aca="false">IF(COUNTIFS('Dados DCA'!$C$9:$C$564,$C228,'Dados DCA'!$E$9:$E$564,$D228,'Dados DCA'!$F$9:$F$564,"despesa_funcao_"&amp;$E228)=0,"",SUMIFS('Dados DCA'!$L$9:$L$564,'Dados DCA'!$C$9:$C$564,$C228,'Dados DCA'!$E$9:$E$564,$D228,'Dados DCA'!$F$9:$F$564,"despesa_funcao_"&amp;$E228))</f>
        <v>7249845.36</v>
      </c>
      <c r="H228" s="6" t="n">
        <f aca="false">IF(OR(G228="",SUMIFS('Cálculos Municipais'!$T$9:$T$28,'Cálculos Municipais'!$C$9:$C$28,$C228,'Cálculos Municipais'!$D$9:$D$28,$D228)=0),"",G228*SUMIFS('Cálculos Municipais'!$T$9:$T$28,'Cálculos Municipais'!$C$9:$C$28,$C228,'Cálculos Municipais'!$D$9:$D$28,$D228))</f>
        <v>7566479.75170149</v>
      </c>
      <c r="I228" s="8" t="n">
        <f aca="false">IF(OR(G228="",SUMIFS('Dados DCA'!$L$9:$L$564,'Dados DCA'!$C$9:$C$564,$C228,'Dados DCA'!$E$9:$E$564,$D228,'Dados DCA'!$F$9:$F$564,"despesa_empenhada_exceto_intra")=0),"",G228/SUMIFS('Dados DCA'!$L$9:$L$564,'Dados DCA'!$C$9:$C$564,$C228,'Dados DCA'!$E$9:$E$564,$D228,'Dados DCA'!$F$9:$F$564,"despesa_empenhada_exceto_intra"))</f>
        <v>0.0259526218674581</v>
      </c>
      <c r="J228" s="12" t="s">
        <v>168</v>
      </c>
    </row>
    <row r="229" customFormat="false" ht="15" hidden="false" customHeight="false" outlineLevel="0" collapsed="false">
      <c r="C229" s="12" t="s">
        <v>6</v>
      </c>
      <c r="D229" s="16" t="n">
        <v>2023</v>
      </c>
      <c r="E229" s="12" t="s">
        <v>284</v>
      </c>
      <c r="F229" s="12" t="s">
        <v>285</v>
      </c>
      <c r="G229" s="6" t="n">
        <f aca="false">IF(COUNTIFS('Dados DCA'!$C$9:$C$564,$C229,'Dados DCA'!$E$9:$E$564,$D229,'Dados DCA'!$F$9:$F$564,"despesa_funcao_"&amp;$E229)=0,"",SUMIFS('Dados DCA'!$L$9:$L$564,'Dados DCA'!$C$9:$C$564,$C229,'Dados DCA'!$E$9:$E$564,$D229,'Dados DCA'!$F$9:$F$564,"despesa_funcao_"&amp;$E229))</f>
        <v>2583200.16</v>
      </c>
      <c r="H229" s="6" t="n">
        <f aca="false">IF(OR(G229="",SUMIFS('Cálculos Municipais'!$T$9:$T$28,'Cálculos Municipais'!$C$9:$C$28,$C229,'Cálculos Municipais'!$D$9:$D$28,$D229)=0),"",G229*SUMIFS('Cálculos Municipais'!$T$9:$T$28,'Cálculos Municipais'!$C$9:$C$28,$C229,'Cálculos Municipais'!$D$9:$D$28,$D229))</f>
        <v>2696020.49901269</v>
      </c>
      <c r="I229" s="8" t="n">
        <f aca="false">IF(OR(G229="",SUMIFS('Dados DCA'!$L$9:$L$564,'Dados DCA'!$C$9:$C$564,$C229,'Dados DCA'!$E$9:$E$564,$D229,'Dados DCA'!$F$9:$F$564,"despesa_empenhada_exceto_intra")=0),"",G229/SUMIFS('Dados DCA'!$L$9:$L$564,'Dados DCA'!$C$9:$C$564,$C229,'Dados DCA'!$E$9:$E$564,$D229,'Dados DCA'!$F$9:$F$564,"despesa_empenhada_exceto_intra"))</f>
        <v>0.00924720647564781</v>
      </c>
      <c r="J229" s="12" t="s">
        <v>168</v>
      </c>
    </row>
    <row r="230" customFormat="false" ht="15" hidden="false" customHeight="false" outlineLevel="0" collapsed="false">
      <c r="C230" s="12" t="s">
        <v>6</v>
      </c>
      <c r="D230" s="16" t="n">
        <v>2023</v>
      </c>
      <c r="E230" s="12" t="s">
        <v>248</v>
      </c>
      <c r="F230" s="12" t="s">
        <v>249</v>
      </c>
      <c r="G230" s="6" t="n">
        <f aca="false">IF(COUNTIFS('Dados DCA'!$C$9:$C$564,$C230,'Dados DCA'!$E$9:$E$564,$D230,'Dados DCA'!$F$9:$F$564,"despesa_funcao_"&amp;$E230)=0,"",SUMIFS('Dados DCA'!$L$9:$L$564,'Dados DCA'!$C$9:$C$564,$C230,'Dados DCA'!$E$9:$E$564,$D230,'Dados DCA'!$F$9:$F$564,"despesa_funcao_"&amp;$E230))</f>
        <v>22422242.34</v>
      </c>
      <c r="H230" s="6" t="n">
        <f aca="false">IF(OR(G230="",SUMIFS('Cálculos Municipais'!$T$9:$T$28,'Cálculos Municipais'!$C$9:$C$28,$C230,'Cálculos Municipais'!$D$9:$D$28,$D230)=0),"",G230*SUMIFS('Cálculos Municipais'!$T$9:$T$28,'Cálculos Municipais'!$C$9:$C$28,$C230,'Cálculos Municipais'!$D$9:$D$28,$D230))</f>
        <v>23401525.7193505</v>
      </c>
      <c r="I230" s="8" t="n">
        <f aca="false">IF(OR(G230="",SUMIFS('Dados DCA'!$L$9:$L$564,'Dados DCA'!$C$9:$C$564,$C230,'Dados DCA'!$E$9:$E$564,$D230,'Dados DCA'!$F$9:$F$564,"despesa_empenhada_exceto_intra")=0),"",G230/SUMIFS('Dados DCA'!$L$9:$L$564,'Dados DCA'!$C$9:$C$564,$C230,'Dados DCA'!$E$9:$E$564,$D230,'Dados DCA'!$F$9:$F$564,"despesa_empenhada_exceto_intra"))</f>
        <v>0.0802659847175732</v>
      </c>
      <c r="J230" s="12" t="s">
        <v>168</v>
      </c>
    </row>
    <row r="231" customFormat="false" ht="15" hidden="false" customHeight="false" outlineLevel="0" collapsed="false">
      <c r="C231" s="12" t="s">
        <v>6</v>
      </c>
      <c r="D231" s="16" t="n">
        <v>2023</v>
      </c>
      <c r="E231" s="12" t="s">
        <v>250</v>
      </c>
      <c r="F231" s="12" t="s">
        <v>251</v>
      </c>
      <c r="G231" s="6" t="n">
        <f aca="false">IF(COUNTIFS('Dados DCA'!$C$9:$C$564,$C231,'Dados DCA'!$E$9:$E$564,$D231,'Dados DCA'!$F$9:$F$564,"despesa_funcao_"&amp;$E231)=0,"",SUMIFS('Dados DCA'!$L$9:$L$564,'Dados DCA'!$C$9:$C$564,$C231,'Dados DCA'!$E$9:$E$564,$D231,'Dados DCA'!$F$9:$F$564,"despesa_funcao_"&amp;$E231))</f>
        <v>5682942.08</v>
      </c>
      <c r="H231" s="6" t="n">
        <f aca="false">IF(OR(G231="",SUMIFS('Cálculos Municipais'!$T$9:$T$28,'Cálculos Municipais'!$C$9:$C$28,$C231,'Cálculos Municipais'!$D$9:$D$28,$D231)=0),"",G231*SUMIFS('Cálculos Municipais'!$T$9:$T$28,'Cálculos Municipais'!$C$9:$C$28,$C231,'Cálculos Municipais'!$D$9:$D$28,$D231))</f>
        <v>5931142.53383363</v>
      </c>
      <c r="I231" s="8" t="n">
        <f aca="false">IF(OR(G231="",SUMIFS('Dados DCA'!$L$9:$L$564,'Dados DCA'!$C$9:$C$564,$C231,'Dados DCA'!$E$9:$E$564,$D231,'Dados DCA'!$F$9:$F$564,"despesa_empenhada_exceto_intra")=0),"",G231/SUMIFS('Dados DCA'!$L$9:$L$564,'Dados DCA'!$C$9:$C$564,$C231,'Dados DCA'!$E$9:$E$564,$D231,'Dados DCA'!$F$9:$F$564,"despesa_empenhada_exceto_intra"))</f>
        <v>0.0203435024573967</v>
      </c>
      <c r="J231" s="12" t="s">
        <v>168</v>
      </c>
    </row>
    <row r="232" customFormat="false" ht="15" hidden="false" customHeight="false" outlineLevel="0" collapsed="false">
      <c r="C232" s="12" t="s">
        <v>6</v>
      </c>
      <c r="D232" s="16" t="n">
        <v>2023</v>
      </c>
      <c r="E232" s="12" t="s">
        <v>252</v>
      </c>
      <c r="F232" s="12" t="s">
        <v>253</v>
      </c>
      <c r="G232" s="6" t="n">
        <f aca="false">IF(COUNTIFS('Dados DCA'!$C$9:$C$564,$C232,'Dados DCA'!$E$9:$E$564,$D232,'Dados DCA'!$F$9:$F$564,"despesa_funcao_"&amp;$E232)=0,"",SUMIFS('Dados DCA'!$L$9:$L$564,'Dados DCA'!$C$9:$C$564,$C232,'Dados DCA'!$E$9:$E$564,$D232,'Dados DCA'!$F$9:$F$564,"despesa_funcao_"&amp;$E232))</f>
        <v>28690510.96</v>
      </c>
      <c r="H232" s="6" t="n">
        <f aca="false">IF(OR(G232="",SUMIFS('Cálculos Municipais'!$T$9:$T$28,'Cálculos Municipais'!$C$9:$C$28,$C232,'Cálculos Municipais'!$D$9:$D$28,$D232)=0),"",G232*SUMIFS('Cálculos Municipais'!$T$9:$T$28,'Cálculos Municipais'!$C$9:$C$28,$C232,'Cálculos Municipais'!$D$9:$D$28,$D232))</f>
        <v>29943558.719549</v>
      </c>
      <c r="I232" s="8" t="n">
        <f aca="false">IF(OR(G232="",SUMIFS('Dados DCA'!$L$9:$L$564,'Dados DCA'!$C$9:$C$564,$C232,'Dados DCA'!$E$9:$E$564,$D232,'Dados DCA'!$F$9:$F$564,"despesa_empenhada_exceto_intra")=0),"",G232/SUMIFS('Dados DCA'!$L$9:$L$564,'Dados DCA'!$C$9:$C$564,$C232,'Dados DCA'!$E$9:$E$564,$D232,'Dados DCA'!$F$9:$F$564,"despesa_empenhada_exceto_intra"))</f>
        <v>0.102704808882853</v>
      </c>
      <c r="J232" s="12" t="s">
        <v>168</v>
      </c>
    </row>
    <row r="233" customFormat="false" ht="15" hidden="false" customHeight="false" outlineLevel="0" collapsed="false">
      <c r="C233" s="12" t="s">
        <v>6</v>
      </c>
      <c r="D233" s="16" t="n">
        <v>2023</v>
      </c>
      <c r="E233" s="12" t="s">
        <v>254</v>
      </c>
      <c r="F233" s="12" t="s">
        <v>255</v>
      </c>
      <c r="G233" s="6" t="n">
        <f aca="false">IF(COUNTIFS('Dados DCA'!$C$9:$C$564,$C233,'Dados DCA'!$E$9:$E$564,$D233,'Dados DCA'!$F$9:$F$564,"despesa_funcao_"&amp;$E233)=0,"",SUMIFS('Dados DCA'!$L$9:$L$564,'Dados DCA'!$C$9:$C$564,$C233,'Dados DCA'!$E$9:$E$564,$D233,'Dados DCA'!$F$9:$F$564,"despesa_funcao_"&amp;$E233))</f>
        <v>57487042.6</v>
      </c>
      <c r="H233" s="6" t="n">
        <f aca="false">IF(OR(G233="",SUMIFS('Cálculos Municipais'!$T$9:$T$28,'Cálculos Municipais'!$C$9:$C$28,$C233,'Cálculos Municipais'!$D$9:$D$28,$D233)=0),"",G233*SUMIFS('Cálculos Municipais'!$T$9:$T$28,'Cálculos Municipais'!$C$9:$C$28,$C233,'Cálculos Municipais'!$D$9:$D$28,$D233))</f>
        <v>59997768.5342107</v>
      </c>
      <c r="I233" s="8" t="n">
        <f aca="false">IF(OR(G233="",SUMIFS('Dados DCA'!$L$9:$L$564,'Dados DCA'!$C$9:$C$564,$C233,'Dados DCA'!$E$9:$E$564,$D233,'Dados DCA'!$F$9:$F$564,"despesa_empenhada_exceto_intra")=0),"",G233/SUMIFS('Dados DCA'!$L$9:$L$564,'Dados DCA'!$C$9:$C$564,$C233,'Dados DCA'!$E$9:$E$564,$D233,'Dados DCA'!$F$9:$F$564,"despesa_empenhada_exceto_intra"))</f>
        <v>0.205789145118573</v>
      </c>
      <c r="J233" s="12" t="s">
        <v>168</v>
      </c>
    </row>
    <row r="234" customFormat="false" ht="15" hidden="false" customHeight="false" outlineLevel="0" collapsed="false">
      <c r="C234" s="12" t="s">
        <v>6</v>
      </c>
      <c r="D234" s="16" t="n">
        <v>2023</v>
      </c>
      <c r="E234" s="12" t="s">
        <v>258</v>
      </c>
      <c r="F234" s="12" t="s">
        <v>259</v>
      </c>
      <c r="G234" s="6" t="n">
        <f aca="false">IF(COUNTIFS('Dados DCA'!$C$9:$C$564,$C234,'Dados DCA'!$E$9:$E$564,$D234,'Dados DCA'!$F$9:$F$564,"despesa_funcao_"&amp;$E234)=0,"",SUMIFS('Dados DCA'!$L$9:$L$564,'Dados DCA'!$C$9:$C$564,$C234,'Dados DCA'!$E$9:$E$564,$D234,'Dados DCA'!$F$9:$F$564,"despesa_funcao_"&amp;$E234))</f>
        <v>103178751.73</v>
      </c>
      <c r="H234" s="6" t="n">
        <f aca="false">IF(OR(G234="",SUMIFS('Cálculos Municipais'!$T$9:$T$28,'Cálculos Municipais'!$C$9:$C$28,$C234,'Cálculos Municipais'!$D$9:$D$28,$D234)=0),"",G234*SUMIFS('Cálculos Municipais'!$T$9:$T$28,'Cálculos Municipais'!$C$9:$C$28,$C234,'Cálculos Municipais'!$D$9:$D$28,$D234))</f>
        <v>107685046.646413</v>
      </c>
      <c r="I234" s="8" t="n">
        <f aca="false">IF(OR(G234="",SUMIFS('Dados DCA'!$L$9:$L$564,'Dados DCA'!$C$9:$C$564,$C234,'Dados DCA'!$E$9:$E$564,$D234,'Dados DCA'!$F$9:$F$564,"despesa_empenhada_exceto_intra")=0),"",G234/SUMIFS('Dados DCA'!$L$9:$L$564,'Dados DCA'!$C$9:$C$564,$C234,'Dados DCA'!$E$9:$E$564,$D234,'Dados DCA'!$F$9:$F$564,"despesa_empenhada_exceto_intra"))</f>
        <v>0.369353964869263</v>
      </c>
      <c r="J234" s="12" t="s">
        <v>168</v>
      </c>
    </row>
    <row r="235" customFormat="false" ht="15" hidden="false" customHeight="false" outlineLevel="0" collapsed="false">
      <c r="C235" s="12" t="s">
        <v>6</v>
      </c>
      <c r="D235" s="16" t="n">
        <v>2023</v>
      </c>
      <c r="E235" s="12" t="s">
        <v>260</v>
      </c>
      <c r="F235" s="12" t="s">
        <v>261</v>
      </c>
      <c r="G235" s="6" t="n">
        <f aca="false">IF(COUNTIFS('Dados DCA'!$C$9:$C$564,$C235,'Dados DCA'!$E$9:$E$564,$D235,'Dados DCA'!$F$9:$F$564,"despesa_funcao_"&amp;$E235)=0,"",SUMIFS('Dados DCA'!$L$9:$L$564,'Dados DCA'!$C$9:$C$564,$C235,'Dados DCA'!$E$9:$E$564,$D235,'Dados DCA'!$F$9:$F$564,"despesa_funcao_"&amp;$E235))</f>
        <v>9138098.34</v>
      </c>
      <c r="H235" s="6" t="n">
        <f aca="false">IF(OR(G235="",SUMIFS('Cálculos Municipais'!$T$9:$T$28,'Cálculos Municipais'!$C$9:$C$28,$C235,'Cálculos Municipais'!$D$9:$D$28,$D235)=0),"",G235*SUMIFS('Cálculos Municipais'!$T$9:$T$28,'Cálculos Municipais'!$C$9:$C$28,$C235,'Cálculos Municipais'!$D$9:$D$28,$D235))</f>
        <v>9537201.50227688</v>
      </c>
      <c r="I235" s="8" t="n">
        <f aca="false">IF(OR(G235="",SUMIFS('Dados DCA'!$L$9:$L$564,'Dados DCA'!$C$9:$C$564,$C235,'Dados DCA'!$E$9:$E$564,$D235,'Dados DCA'!$F$9:$F$564,"despesa_empenhada_exceto_intra")=0),"",G235/SUMIFS('Dados DCA'!$L$9:$L$564,'Dados DCA'!$C$9:$C$564,$C235,'Dados DCA'!$E$9:$E$564,$D235,'Dados DCA'!$F$9:$F$564,"despesa_empenhada_exceto_intra"))</f>
        <v>0.0327120923315344</v>
      </c>
      <c r="J235" s="12" t="s">
        <v>168</v>
      </c>
    </row>
    <row r="236" customFormat="false" ht="15" hidden="false" customHeight="false" outlineLevel="0" collapsed="false">
      <c r="C236" s="12" t="s">
        <v>6</v>
      </c>
      <c r="D236" s="16" t="n">
        <v>2023</v>
      </c>
      <c r="E236" s="12" t="s">
        <v>278</v>
      </c>
      <c r="F236" s="12" t="s">
        <v>279</v>
      </c>
      <c r="G236" s="6" t="n">
        <f aca="false">IF(COUNTIFS('Dados DCA'!$C$9:$C$564,$C236,'Dados DCA'!$E$9:$E$564,$D236,'Dados DCA'!$F$9:$F$564,"despesa_funcao_"&amp;$E236)=0,"",SUMIFS('Dados DCA'!$L$9:$L$564,'Dados DCA'!$C$9:$C$564,$C236,'Dados DCA'!$E$9:$E$564,$D236,'Dados DCA'!$F$9:$F$564,"despesa_funcao_"&amp;$E236))</f>
        <v>342784.87</v>
      </c>
      <c r="H236" s="6" t="n">
        <f aca="false">IF(OR(G236="",SUMIFS('Cálculos Municipais'!$T$9:$T$28,'Cálculos Municipais'!$C$9:$C$28,$C236,'Cálculos Municipais'!$D$9:$D$28,$D236)=0),"",G236*SUMIFS('Cálculos Municipais'!$T$9:$T$28,'Cálculos Municipais'!$C$9:$C$28,$C236,'Cálculos Municipais'!$D$9:$D$28,$D236))</f>
        <v>357755.876057007</v>
      </c>
      <c r="I236" s="8" t="n">
        <f aca="false">IF(OR(G236="",SUMIFS('Dados DCA'!$L$9:$L$564,'Dados DCA'!$C$9:$C$564,$C236,'Dados DCA'!$E$9:$E$564,$D236,'Dados DCA'!$F$9:$F$564,"despesa_empenhada_exceto_intra")=0),"",G236/SUMIFS('Dados DCA'!$L$9:$L$564,'Dados DCA'!$C$9:$C$564,$C236,'Dados DCA'!$E$9:$E$564,$D236,'Dados DCA'!$F$9:$F$564,"despesa_empenhada_exceto_intra"))</f>
        <v>0.00122708356816535</v>
      </c>
      <c r="J236" s="12" t="s">
        <v>168</v>
      </c>
    </row>
    <row r="237" customFormat="false" ht="15" hidden="false" customHeight="false" outlineLevel="0" collapsed="false">
      <c r="C237" s="12" t="s">
        <v>6</v>
      </c>
      <c r="D237" s="16" t="n">
        <v>2023</v>
      </c>
      <c r="E237" s="12" t="s">
        <v>262</v>
      </c>
      <c r="F237" s="12" t="s">
        <v>263</v>
      </c>
      <c r="G237" s="6" t="n">
        <f aca="false">IF(COUNTIFS('Dados DCA'!$C$9:$C$564,$C237,'Dados DCA'!$E$9:$E$564,$D237,'Dados DCA'!$F$9:$F$564,"despesa_funcao_"&amp;$E237)=0,"",SUMIFS('Dados DCA'!$L$9:$L$564,'Dados DCA'!$C$9:$C$564,$C237,'Dados DCA'!$E$9:$E$564,$D237,'Dados DCA'!$F$9:$F$564,"despesa_funcao_"&amp;$E237))</f>
        <v>25937979.9</v>
      </c>
      <c r="H237" s="6" t="n">
        <f aca="false">IF(OR(G237="",SUMIFS('Cálculos Municipais'!$T$9:$T$28,'Cálculos Municipais'!$C$9:$C$28,$C237,'Cálculos Municipais'!$D$9:$D$28,$D237)=0),"",G237*SUMIFS('Cálculos Municipais'!$T$9:$T$28,'Cálculos Municipais'!$C$9:$C$28,$C237,'Cálculos Municipais'!$D$9:$D$28,$D237))</f>
        <v>27070811.8543083</v>
      </c>
      <c r="I237" s="8" t="n">
        <f aca="false">IF(OR(G237="",SUMIFS('Dados DCA'!$L$9:$L$564,'Dados DCA'!$C$9:$C$564,$C237,'Dados DCA'!$E$9:$E$564,$D237,'Dados DCA'!$F$9:$F$564,"despesa_empenhada_exceto_intra")=0),"",G237/SUMIFS('Dados DCA'!$L$9:$L$564,'Dados DCA'!$C$9:$C$564,$C237,'Dados DCA'!$E$9:$E$564,$D237,'Dados DCA'!$F$9:$F$564,"despesa_empenhada_exceto_intra"))</f>
        <v>0.0928514403996099</v>
      </c>
      <c r="J237" s="12" t="s">
        <v>168</v>
      </c>
    </row>
    <row r="238" customFormat="false" ht="15" hidden="false" customHeight="false" outlineLevel="0" collapsed="false">
      <c r="C238" s="12" t="s">
        <v>6</v>
      </c>
      <c r="D238" s="16" t="n">
        <v>2023</v>
      </c>
      <c r="E238" s="12" t="s">
        <v>264</v>
      </c>
      <c r="F238" s="12" t="s">
        <v>265</v>
      </c>
      <c r="G238" s="6" t="n">
        <f aca="false">IF(COUNTIFS('Dados DCA'!$C$9:$C$564,$C238,'Dados DCA'!$E$9:$E$564,$D238,'Dados DCA'!$F$9:$F$564,"despesa_funcao_"&amp;$E238)=0,"",SUMIFS('Dados DCA'!$L$9:$L$564,'Dados DCA'!$C$9:$C$564,$C238,'Dados DCA'!$E$9:$E$564,$D238,'Dados DCA'!$F$9:$F$564,"despesa_funcao_"&amp;$E238))</f>
        <v>1543309.76</v>
      </c>
      <c r="H238" s="6" t="n">
        <f aca="false">IF(OR(G238="",SUMIFS('Cálculos Municipais'!$T$9:$T$28,'Cálculos Municipais'!$C$9:$C$28,$C238,'Cálculos Municipais'!$D$9:$D$28,$D238)=0),"",G238*SUMIFS('Cálculos Municipais'!$T$9:$T$28,'Cálculos Municipais'!$C$9:$C$28,$C238,'Cálculos Municipais'!$D$9:$D$28,$D238))</f>
        <v>1610713.25935748</v>
      </c>
      <c r="I238" s="8" t="n">
        <f aca="false">IF(OR(G238="",SUMIFS('Dados DCA'!$L$9:$L$564,'Dados DCA'!$C$9:$C$564,$C238,'Dados DCA'!$E$9:$E$564,$D238,'Dados DCA'!$F$9:$F$564,"despesa_empenhada_exceto_intra")=0),"",G238/SUMIFS('Dados DCA'!$L$9:$L$564,'Dados DCA'!$C$9:$C$564,$C238,'Dados DCA'!$E$9:$E$564,$D238,'Dados DCA'!$F$9:$F$564,"despesa_empenhada_exceto_intra"))</f>
        <v>0.00552466054608888</v>
      </c>
      <c r="J238" s="12" t="s">
        <v>168</v>
      </c>
    </row>
    <row r="239" customFormat="false" ht="15" hidden="false" customHeight="false" outlineLevel="0" collapsed="false">
      <c r="C239" s="12" t="s">
        <v>6</v>
      </c>
      <c r="D239" s="16" t="n">
        <v>2023</v>
      </c>
      <c r="E239" s="12" t="s">
        <v>266</v>
      </c>
      <c r="F239" s="12" t="s">
        <v>267</v>
      </c>
      <c r="G239" s="6" t="n">
        <f aca="false">IF(COUNTIFS('Dados DCA'!$C$9:$C$564,$C239,'Dados DCA'!$E$9:$E$564,$D239,'Dados DCA'!$F$9:$F$564,"despesa_funcao_"&amp;$E239)=0,"",SUMIFS('Dados DCA'!$L$9:$L$564,'Dados DCA'!$C$9:$C$564,$C239,'Dados DCA'!$E$9:$E$564,$D239,'Dados DCA'!$F$9:$F$564,"despesa_funcao_"&amp;$E239))</f>
        <v>1145716.43</v>
      </c>
      <c r="H239" s="6" t="n">
        <f aca="false">IF(OR(G239="",SUMIFS('Cálculos Municipais'!$T$9:$T$28,'Cálculos Municipais'!$C$9:$C$28,$C239,'Cálculos Municipais'!$D$9:$D$28,$D239)=0),"",G239*SUMIFS('Cálculos Municipais'!$T$9:$T$28,'Cálculos Municipais'!$C$9:$C$28,$C239,'Cálculos Municipais'!$D$9:$D$28,$D239))</f>
        <v>1195755.18349908</v>
      </c>
      <c r="I239" s="8" t="n">
        <f aca="false">IF(OR(G239="",SUMIFS('Dados DCA'!$L$9:$L$564,'Dados DCA'!$C$9:$C$564,$C239,'Dados DCA'!$E$9:$E$564,$D239,'Dados DCA'!$F$9:$F$564,"despesa_empenhada_exceto_intra")=0),"",G239/SUMIFS('Dados DCA'!$L$9:$L$564,'Dados DCA'!$C$9:$C$564,$C239,'Dados DCA'!$E$9:$E$564,$D239,'Dados DCA'!$F$9:$F$564,"despesa_empenhada_exceto_intra"))</f>
        <v>0.00410137648441153</v>
      </c>
      <c r="J239" s="12" t="s">
        <v>168</v>
      </c>
    </row>
    <row r="240" customFormat="false" ht="15" hidden="false" customHeight="false" outlineLevel="0" collapsed="false">
      <c r="C240" s="12" t="s">
        <v>6</v>
      </c>
      <c r="D240" s="16" t="n">
        <v>2023</v>
      </c>
      <c r="E240" s="12" t="s">
        <v>268</v>
      </c>
      <c r="F240" s="12" t="s">
        <v>269</v>
      </c>
      <c r="G240" s="6" t="n">
        <f aca="false">IF(COUNTIFS('Dados DCA'!$C$9:$C$564,$C240,'Dados DCA'!$E$9:$E$564,$D240,'Dados DCA'!$F$9:$F$564,"despesa_funcao_"&amp;$E240)=0,"",SUMIFS('Dados DCA'!$L$9:$L$564,'Dados DCA'!$C$9:$C$564,$C240,'Dados DCA'!$E$9:$E$564,$D240,'Dados DCA'!$F$9:$F$564,"despesa_funcao_"&amp;$E240))</f>
        <v>5683555.72</v>
      </c>
      <c r="H240" s="6" t="n">
        <f aca="false">IF(OR(G240="",SUMIFS('Cálculos Municipais'!$T$9:$T$28,'Cálculos Municipais'!$C$9:$C$28,$C240,'Cálculos Municipais'!$D$9:$D$28,$D240)=0),"",G240*SUMIFS('Cálculos Municipais'!$T$9:$T$28,'Cálculos Municipais'!$C$9:$C$28,$C240,'Cálculos Municipais'!$D$9:$D$28,$D240))</f>
        <v>5931782.97434019</v>
      </c>
      <c r="I240" s="8" t="n">
        <f aca="false">IF(OR(G240="",SUMIFS('Dados DCA'!$L$9:$L$564,'Dados DCA'!$C$9:$C$564,$C240,'Dados DCA'!$E$9:$E$564,$D240,'Dados DCA'!$F$9:$F$564,"despesa_empenhada_exceto_intra")=0),"",G240/SUMIFS('Dados DCA'!$L$9:$L$564,'Dados DCA'!$C$9:$C$564,$C240,'Dados DCA'!$E$9:$E$564,$D240,'Dados DCA'!$F$9:$F$564,"despesa_empenhada_exceto_intra"))</f>
        <v>0.0203456991341659</v>
      </c>
      <c r="J240" s="12" t="s">
        <v>168</v>
      </c>
    </row>
    <row r="241" customFormat="false" ht="15" hidden="false" customHeight="false" outlineLevel="0" collapsed="false">
      <c r="C241" s="12" t="s">
        <v>6</v>
      </c>
      <c r="D241" s="16" t="n">
        <v>2023</v>
      </c>
      <c r="E241" s="12" t="s">
        <v>288</v>
      </c>
      <c r="F241" s="12" t="s">
        <v>289</v>
      </c>
      <c r="G241" s="6" t="n">
        <f aca="false">IF(COUNTIFS('Dados DCA'!$C$9:$C$564,$C241,'Dados DCA'!$E$9:$E$564,$D241,'Dados DCA'!$F$9:$F$564,"despesa_funcao_"&amp;$E241)=0,"",SUMIFS('Dados DCA'!$L$9:$L$564,'Dados DCA'!$C$9:$C$564,$C241,'Dados DCA'!$E$9:$E$564,$D241,'Dados DCA'!$F$9:$F$564,"despesa_funcao_"&amp;$E241))</f>
        <v>736137.82</v>
      </c>
      <c r="H241" s="6" t="n">
        <f aca="false">IF(OR(G241="",SUMIFS('Cálculos Municipais'!$T$9:$T$28,'Cálculos Municipais'!$C$9:$C$28,$C241,'Cálculos Municipais'!$D$9:$D$28,$D241)=0),"",G241*SUMIFS('Cálculos Municipais'!$T$9:$T$28,'Cálculos Municipais'!$C$9:$C$28,$C241,'Cálculos Municipais'!$D$9:$D$28,$D241))</f>
        <v>768288.374842202</v>
      </c>
      <c r="I241" s="8" t="n">
        <f aca="false">IF(OR(G241="",SUMIFS('Dados DCA'!$L$9:$L$564,'Dados DCA'!$C$9:$C$564,$C241,'Dados DCA'!$E$9:$E$564,$D241,'Dados DCA'!$F$9:$F$564,"despesa_empenhada_exceto_intra")=0),"",G241/SUMIFS('Dados DCA'!$L$9:$L$564,'Dados DCA'!$C$9:$C$564,$C241,'Dados DCA'!$E$9:$E$564,$D241,'Dados DCA'!$F$9:$F$564,"despesa_empenhada_exceto_intra"))</f>
        <v>0.0026351881365915</v>
      </c>
      <c r="J241" s="12" t="s">
        <v>168</v>
      </c>
    </row>
    <row r="242" customFormat="false" ht="15" hidden="false" customHeight="false" outlineLevel="0" collapsed="false">
      <c r="C242" s="12" t="s">
        <v>6</v>
      </c>
      <c r="D242" s="16" t="n">
        <v>2023</v>
      </c>
      <c r="E242" s="12" t="s">
        <v>280</v>
      </c>
      <c r="F242" s="12" t="s">
        <v>281</v>
      </c>
      <c r="G242" s="6" t="n">
        <f aca="false">IF(COUNTIFS('Dados DCA'!$C$9:$C$564,$C242,'Dados DCA'!$E$9:$E$564,$D242,'Dados DCA'!$F$9:$F$564,"despesa_funcao_"&amp;$E242)=0,"",SUMIFS('Dados DCA'!$L$9:$L$564,'Dados DCA'!$C$9:$C$564,$C242,'Dados DCA'!$E$9:$E$564,$D242,'Dados DCA'!$F$9:$F$564,"despesa_funcao_"&amp;$E242))</f>
        <v>958210.79</v>
      </c>
      <c r="H242" s="6" t="n">
        <f aca="false">IF(OR(G242="",SUMIFS('Cálculos Municipais'!$T$9:$T$28,'Cálculos Municipais'!$C$9:$C$28,$C242,'Cálculos Municipais'!$D$9:$D$28,$D242)=0),"",G242*SUMIFS('Cálculos Municipais'!$T$9:$T$28,'Cálculos Municipais'!$C$9:$C$28,$C242,'Cálculos Municipais'!$D$9:$D$28,$D242))</f>
        <v>1000060.30203062</v>
      </c>
      <c r="I242" s="8" t="n">
        <f aca="false">IF(OR(G242="",SUMIFS('Dados DCA'!$L$9:$L$564,'Dados DCA'!$C$9:$C$564,$C242,'Dados DCA'!$E$9:$E$564,$D242,'Dados DCA'!$F$9:$F$564,"despesa_empenhada_exceto_intra")=0),"",G242/SUMIFS('Dados DCA'!$L$9:$L$564,'Dados DCA'!$C$9:$C$564,$C242,'Dados DCA'!$E$9:$E$564,$D242,'Dados DCA'!$F$9:$F$564,"despesa_empenhada_exceto_intra"))</f>
        <v>0.00343015348153416</v>
      </c>
      <c r="J242" s="12" t="s">
        <v>168</v>
      </c>
    </row>
    <row r="243" customFormat="false" ht="15" hidden="false" customHeight="false" outlineLevel="0" collapsed="false">
      <c r="C243" s="12" t="s">
        <v>6</v>
      </c>
      <c r="D243" s="16" t="n">
        <v>2023</v>
      </c>
      <c r="E243" s="12" t="s">
        <v>272</v>
      </c>
      <c r="F243" s="12" t="s">
        <v>273</v>
      </c>
      <c r="G243" s="6" t="n">
        <f aca="false">IF(COUNTIFS('Dados DCA'!$C$9:$C$564,$C243,'Dados DCA'!$E$9:$E$564,$D243,'Dados DCA'!$F$9:$F$564,"despesa_funcao_"&amp;$E243)=0,"",SUMIFS('Dados DCA'!$L$9:$L$564,'Dados DCA'!$C$9:$C$564,$C243,'Dados DCA'!$E$9:$E$564,$D243,'Dados DCA'!$F$9:$F$564,"despesa_funcao_"&amp;$E243))</f>
        <v>1351888.61</v>
      </c>
      <c r="H243" s="6" t="n">
        <f aca="false">IF(OR(G243="",SUMIFS('Cálculos Municipais'!$T$9:$T$28,'Cálculos Municipais'!$C$9:$C$28,$C243,'Cálculos Municipais'!$D$9:$D$28,$D243)=0),"",G243*SUMIFS('Cálculos Municipais'!$T$9:$T$28,'Cálculos Municipais'!$C$9:$C$28,$C243,'Cálculos Municipais'!$D$9:$D$28,$D243))</f>
        <v>1410931.85939636</v>
      </c>
      <c r="I243" s="8" t="n">
        <f aca="false">IF(OR(G243="",SUMIFS('Dados DCA'!$L$9:$L$564,'Dados DCA'!$C$9:$C$564,$C243,'Dados DCA'!$E$9:$E$564,$D243,'Dados DCA'!$F$9:$F$564,"despesa_empenhada_exceto_intra")=0),"",G243/SUMIFS('Dados DCA'!$L$9:$L$564,'Dados DCA'!$C$9:$C$564,$C243,'Dados DCA'!$E$9:$E$564,$D243,'Dados DCA'!$F$9:$F$564,"despesa_empenhada_exceto_intra"))</f>
        <v>0.0048394210028024</v>
      </c>
      <c r="J243" s="12" t="s">
        <v>168</v>
      </c>
    </row>
    <row r="244" customFormat="false" ht="15" hidden="false" customHeight="false" outlineLevel="0" collapsed="false">
      <c r="C244" s="12" t="s">
        <v>6</v>
      </c>
      <c r="D244" s="16" t="n">
        <v>2023</v>
      </c>
      <c r="E244" s="12" t="s">
        <v>282</v>
      </c>
      <c r="F244" s="12" t="s">
        <v>283</v>
      </c>
      <c r="G244" s="6" t="n">
        <f aca="false">IF(COUNTIFS('Dados DCA'!$C$9:$C$564,$C244,'Dados DCA'!$E$9:$E$564,$D244,'Dados DCA'!$F$9:$F$564,"despesa_funcao_"&amp;$E244)=0,"",SUMIFS('Dados DCA'!$L$9:$L$564,'Dados DCA'!$C$9:$C$564,$C244,'Dados DCA'!$E$9:$E$564,$D244,'Dados DCA'!$F$9:$F$564,"despesa_funcao_"&amp;$E244))</f>
        <v>925272.83</v>
      </c>
      <c r="H244" s="6" t="n">
        <f aca="false">IF(OR(G244="",SUMIFS('Cálculos Municipais'!$T$9:$T$28,'Cálculos Municipais'!$C$9:$C$28,$C244,'Cálculos Municipais'!$D$9:$D$28,$D244)=0),"",G244*SUMIFS('Cálculos Municipais'!$T$9:$T$28,'Cálculos Municipais'!$C$9:$C$28,$C244,'Cálculos Municipais'!$D$9:$D$28,$D244))</f>
        <v>965683.788460081</v>
      </c>
      <c r="I244" s="8" t="n">
        <f aca="false">IF(OR(G244="",SUMIFS('Dados DCA'!$L$9:$L$564,'Dados DCA'!$C$9:$C$564,$C244,'Dados DCA'!$E$9:$E$564,$D244,'Dados DCA'!$F$9:$F$564,"despesa_empenhada_exceto_intra")=0),"",G244/SUMIFS('Dados DCA'!$L$9:$L$564,'Dados DCA'!$C$9:$C$564,$C244,'Dados DCA'!$E$9:$E$564,$D244,'Dados DCA'!$F$9:$F$564,"despesa_empenhada_exceto_intra"))</f>
        <v>0.00331224387401593</v>
      </c>
      <c r="J244" s="12" t="s">
        <v>168</v>
      </c>
    </row>
    <row r="245" customFormat="false" ht="15" hidden="false" customHeight="false" outlineLevel="0" collapsed="false">
      <c r="C245" s="12" t="s">
        <v>6</v>
      </c>
      <c r="D245" s="16" t="n">
        <v>2023</v>
      </c>
      <c r="E245" s="12" t="s">
        <v>274</v>
      </c>
      <c r="F245" s="12" t="s">
        <v>275</v>
      </c>
      <c r="G245" s="6" t="n">
        <f aca="false">IF(COUNTIFS('Dados DCA'!$C$9:$C$564,$C245,'Dados DCA'!$E$9:$E$564,$D245,'Dados DCA'!$F$9:$F$564,"despesa_funcao_"&amp;$E245)=0,"",SUMIFS('Dados DCA'!$L$9:$L$564,'Dados DCA'!$C$9:$C$564,$C245,'Dados DCA'!$E$9:$E$564,$D245,'Dados DCA'!$F$9:$F$564,"despesa_funcao_"&amp;$E245))</f>
        <v>4291756.07</v>
      </c>
      <c r="H245" s="6" t="n">
        <f aca="false">IF(OR(G245="",SUMIFS('Cálculos Municipais'!$T$9:$T$28,'Cálculos Municipais'!$C$9:$C$28,$C245,'Cálculos Municipais'!$D$9:$D$28,$D245)=0),"",G245*SUMIFS('Cálculos Municipais'!$T$9:$T$28,'Cálculos Municipais'!$C$9:$C$28,$C245,'Cálculos Municipais'!$D$9:$D$28,$D245))</f>
        <v>4479196.97460926</v>
      </c>
      <c r="I245" s="8" t="n">
        <f aca="false">IF(OR(G245="",SUMIFS('Dados DCA'!$L$9:$L$564,'Dados DCA'!$C$9:$C$564,$C245,'Dados DCA'!$E$9:$E$564,$D245,'Dados DCA'!$F$9:$F$564,"despesa_empenhada_exceto_intra")=0),"",G245/SUMIFS('Dados DCA'!$L$9:$L$564,'Dados DCA'!$C$9:$C$564,$C245,'Dados DCA'!$E$9:$E$564,$D245,'Dados DCA'!$F$9:$F$564,"despesa_empenhada_exceto_intra"))</f>
        <v>0.0153634066523149</v>
      </c>
      <c r="J245" s="12" t="s">
        <v>168</v>
      </c>
    </row>
    <row r="246" customFormat="false" ht="15" hidden="false" customHeight="false" outlineLevel="0" collapsed="false">
      <c r="C246" s="12" t="s">
        <v>6</v>
      </c>
      <c r="D246" s="16" t="n">
        <v>2024</v>
      </c>
      <c r="E246" s="12" t="s">
        <v>246</v>
      </c>
      <c r="F246" s="12" t="s">
        <v>247</v>
      </c>
      <c r="G246" s="6" t="n">
        <f aca="false">IF(COUNTIFS('Dados DCA'!$C$9:$C$564,$C246,'Dados DCA'!$E$9:$E$564,$D246,'Dados DCA'!$F$9:$F$564,"despesa_funcao_"&amp;$E246)=0,"",SUMIFS('Dados DCA'!$L$9:$L$564,'Dados DCA'!$C$9:$C$564,$C246,'Dados DCA'!$E$9:$E$564,$D246,'Dados DCA'!$F$9:$F$564,"despesa_funcao_"&amp;$E246))</f>
        <v>8454611.47</v>
      </c>
      <c r="H246" s="6" t="n">
        <f aca="false">IF(OR(G246="",SUMIFS('Cálculos Municipais'!$T$9:$T$28,'Cálculos Municipais'!$C$9:$C$28,$C246,'Cálculos Municipais'!$D$9:$D$28,$D246)=0),"",G246*SUMIFS('Cálculos Municipais'!$T$9:$T$28,'Cálculos Municipais'!$C$9:$C$28,$C246,'Cálculos Municipais'!$D$9:$D$28,$D246))</f>
        <v>8454611.47</v>
      </c>
      <c r="I246" s="8" t="n">
        <f aca="false">IF(OR(G246="",SUMIFS('Dados DCA'!$L$9:$L$564,'Dados DCA'!$C$9:$C$564,$C246,'Dados DCA'!$E$9:$E$564,$D246,'Dados DCA'!$F$9:$F$564,"despesa_empenhada_exceto_intra")=0),"",G246/SUMIFS('Dados DCA'!$L$9:$L$564,'Dados DCA'!$C$9:$C$564,$C246,'Dados DCA'!$E$9:$E$564,$D246,'Dados DCA'!$F$9:$F$564,"despesa_empenhada_exceto_intra"))</f>
        <v>0.0229603765647251</v>
      </c>
      <c r="J246" s="12" t="s">
        <v>169</v>
      </c>
    </row>
    <row r="247" customFormat="false" ht="15" hidden="false" customHeight="false" outlineLevel="0" collapsed="false">
      <c r="C247" s="12" t="s">
        <v>6</v>
      </c>
      <c r="D247" s="16" t="n">
        <v>2024</v>
      </c>
      <c r="E247" s="12" t="s">
        <v>284</v>
      </c>
      <c r="F247" s="12" t="s">
        <v>285</v>
      </c>
      <c r="G247" s="6" t="n">
        <f aca="false">IF(COUNTIFS('Dados DCA'!$C$9:$C$564,$C247,'Dados DCA'!$E$9:$E$564,$D247,'Dados DCA'!$F$9:$F$564,"despesa_funcao_"&amp;$E247)=0,"",SUMIFS('Dados DCA'!$L$9:$L$564,'Dados DCA'!$C$9:$C$564,$C247,'Dados DCA'!$E$9:$E$564,$D247,'Dados DCA'!$F$9:$F$564,"despesa_funcao_"&amp;$E247))</f>
        <v>2689876.95</v>
      </c>
      <c r="H247" s="6" t="n">
        <f aca="false">IF(OR(G247="",SUMIFS('Cálculos Municipais'!$T$9:$T$28,'Cálculos Municipais'!$C$9:$C$28,$C247,'Cálculos Municipais'!$D$9:$D$28,$D247)=0),"",G247*SUMIFS('Cálculos Municipais'!$T$9:$T$28,'Cálculos Municipais'!$C$9:$C$28,$C247,'Cálculos Municipais'!$D$9:$D$28,$D247))</f>
        <v>2689876.95</v>
      </c>
      <c r="I247" s="8" t="n">
        <f aca="false">IF(OR(G247="",SUMIFS('Dados DCA'!$L$9:$L$564,'Dados DCA'!$C$9:$C$564,$C247,'Dados DCA'!$E$9:$E$564,$D247,'Dados DCA'!$F$9:$F$564,"despesa_empenhada_exceto_intra")=0),"",G247/SUMIFS('Dados DCA'!$L$9:$L$564,'Dados DCA'!$C$9:$C$564,$C247,'Dados DCA'!$E$9:$E$564,$D247,'Dados DCA'!$F$9:$F$564,"despesa_empenhada_exceto_intra"))</f>
        <v>0.00730495870850163</v>
      </c>
      <c r="J247" s="12" t="s">
        <v>169</v>
      </c>
    </row>
    <row r="248" customFormat="false" ht="15" hidden="false" customHeight="false" outlineLevel="0" collapsed="false">
      <c r="C248" s="12" t="s">
        <v>6</v>
      </c>
      <c r="D248" s="16" t="n">
        <v>2024</v>
      </c>
      <c r="E248" s="12" t="s">
        <v>248</v>
      </c>
      <c r="F248" s="12" t="s">
        <v>249</v>
      </c>
      <c r="G248" s="6" t="n">
        <f aca="false">IF(COUNTIFS('Dados DCA'!$C$9:$C$564,$C248,'Dados DCA'!$E$9:$E$564,$D248,'Dados DCA'!$F$9:$F$564,"despesa_funcao_"&amp;$E248)=0,"",SUMIFS('Dados DCA'!$L$9:$L$564,'Dados DCA'!$C$9:$C$564,$C248,'Dados DCA'!$E$9:$E$564,$D248,'Dados DCA'!$F$9:$F$564,"despesa_funcao_"&amp;$E248))</f>
        <v>27413758.92</v>
      </c>
      <c r="H248" s="6" t="n">
        <f aca="false">IF(OR(G248="",SUMIFS('Cálculos Municipais'!$T$9:$T$28,'Cálculos Municipais'!$C$9:$C$28,$C248,'Cálculos Municipais'!$D$9:$D$28,$D248)=0),"",G248*SUMIFS('Cálculos Municipais'!$T$9:$T$28,'Cálculos Municipais'!$C$9:$C$28,$C248,'Cálculos Municipais'!$D$9:$D$28,$D248))</f>
        <v>27413758.92</v>
      </c>
      <c r="I248" s="8" t="n">
        <f aca="false">IF(OR(G248="",SUMIFS('Dados DCA'!$L$9:$L$564,'Dados DCA'!$C$9:$C$564,$C248,'Dados DCA'!$E$9:$E$564,$D248,'Dados DCA'!$F$9:$F$564,"despesa_empenhada_exceto_intra")=0),"",G248/SUMIFS('Dados DCA'!$L$9:$L$564,'Dados DCA'!$C$9:$C$564,$C248,'Dados DCA'!$E$9:$E$564,$D248,'Dados DCA'!$F$9:$F$564,"despesa_empenhada_exceto_intra"))</f>
        <v>0.0744481553163309</v>
      </c>
      <c r="J248" s="12" t="s">
        <v>169</v>
      </c>
    </row>
    <row r="249" customFormat="false" ht="15" hidden="false" customHeight="false" outlineLevel="0" collapsed="false">
      <c r="C249" s="12" t="s">
        <v>6</v>
      </c>
      <c r="D249" s="16" t="n">
        <v>2024</v>
      </c>
      <c r="E249" s="12" t="s">
        <v>276</v>
      </c>
      <c r="F249" s="12" t="s">
        <v>277</v>
      </c>
      <c r="G249" s="6" t="n">
        <f aca="false">IF(COUNTIFS('Dados DCA'!$C$9:$C$564,$C249,'Dados DCA'!$E$9:$E$564,$D249,'Dados DCA'!$F$9:$F$564,"despesa_funcao_"&amp;$E249)=0,"",SUMIFS('Dados DCA'!$L$9:$L$564,'Dados DCA'!$C$9:$C$564,$C249,'Dados DCA'!$E$9:$E$564,$D249,'Dados DCA'!$F$9:$F$564,"despesa_funcao_"&amp;$E249))</f>
        <v>100000</v>
      </c>
      <c r="H249" s="6" t="n">
        <f aca="false">IF(OR(G249="",SUMIFS('Cálculos Municipais'!$T$9:$T$28,'Cálculos Municipais'!$C$9:$C$28,$C249,'Cálculos Municipais'!$D$9:$D$28,$D249)=0),"",G249*SUMIFS('Cálculos Municipais'!$T$9:$T$28,'Cálculos Municipais'!$C$9:$C$28,$C249,'Cálculos Municipais'!$D$9:$D$28,$D249))</f>
        <v>100000</v>
      </c>
      <c r="I249" s="8" t="n">
        <f aca="false">IF(OR(G249="",SUMIFS('Dados DCA'!$L$9:$L$564,'Dados DCA'!$C$9:$C$564,$C249,'Dados DCA'!$E$9:$E$564,$D249,'Dados DCA'!$F$9:$F$564,"despesa_empenhada_exceto_intra")=0),"",G249/SUMIFS('Dados DCA'!$L$9:$L$564,'Dados DCA'!$C$9:$C$564,$C249,'Dados DCA'!$E$9:$E$564,$D249,'Dados DCA'!$F$9:$F$564,"despesa_empenhada_exceto_intra"))</f>
        <v>0.000271572225952627</v>
      </c>
      <c r="J249" s="12" t="s">
        <v>169</v>
      </c>
    </row>
    <row r="250" customFormat="false" ht="15" hidden="false" customHeight="false" outlineLevel="0" collapsed="false">
      <c r="C250" s="12" t="s">
        <v>6</v>
      </c>
      <c r="D250" s="16" t="n">
        <v>2024</v>
      </c>
      <c r="E250" s="12" t="s">
        <v>250</v>
      </c>
      <c r="F250" s="12" t="s">
        <v>251</v>
      </c>
      <c r="G250" s="6" t="n">
        <f aca="false">IF(COUNTIFS('Dados DCA'!$C$9:$C$564,$C250,'Dados DCA'!$E$9:$E$564,$D250,'Dados DCA'!$F$9:$F$564,"despesa_funcao_"&amp;$E250)=0,"",SUMIFS('Dados DCA'!$L$9:$L$564,'Dados DCA'!$C$9:$C$564,$C250,'Dados DCA'!$E$9:$E$564,$D250,'Dados DCA'!$F$9:$F$564,"despesa_funcao_"&amp;$E250))</f>
        <v>5771720.32</v>
      </c>
      <c r="H250" s="6" t="n">
        <f aca="false">IF(OR(G250="",SUMIFS('Cálculos Municipais'!$T$9:$T$28,'Cálculos Municipais'!$C$9:$C$28,$C250,'Cálculos Municipais'!$D$9:$D$28,$D250)=0),"",G250*SUMIFS('Cálculos Municipais'!$T$9:$T$28,'Cálculos Municipais'!$C$9:$C$28,$C250,'Cálculos Municipais'!$D$9:$D$28,$D250))</f>
        <v>5771720.32</v>
      </c>
      <c r="I250" s="8" t="n">
        <f aca="false">IF(OR(G250="",SUMIFS('Dados DCA'!$L$9:$L$564,'Dados DCA'!$C$9:$C$564,$C250,'Dados DCA'!$E$9:$E$564,$D250,'Dados DCA'!$F$9:$F$564,"despesa_empenhada_exceto_intra")=0),"",G250/SUMIFS('Dados DCA'!$L$9:$L$564,'Dados DCA'!$C$9:$C$564,$C250,'Dados DCA'!$E$9:$E$564,$D250,'Dados DCA'!$F$9:$F$564,"despesa_empenhada_exceto_intra"))</f>
        <v>0.0156743893487841</v>
      </c>
      <c r="J250" s="12" t="s">
        <v>169</v>
      </c>
    </row>
    <row r="251" customFormat="false" ht="15" hidden="false" customHeight="false" outlineLevel="0" collapsed="false">
      <c r="C251" s="12" t="s">
        <v>6</v>
      </c>
      <c r="D251" s="16" t="n">
        <v>2024</v>
      </c>
      <c r="E251" s="12" t="s">
        <v>252</v>
      </c>
      <c r="F251" s="12" t="s">
        <v>253</v>
      </c>
      <c r="G251" s="6" t="n">
        <f aca="false">IF(COUNTIFS('Dados DCA'!$C$9:$C$564,$C251,'Dados DCA'!$E$9:$E$564,$D251,'Dados DCA'!$F$9:$F$564,"despesa_funcao_"&amp;$E251)=0,"",SUMIFS('Dados DCA'!$L$9:$L$564,'Dados DCA'!$C$9:$C$564,$C251,'Dados DCA'!$E$9:$E$564,$D251,'Dados DCA'!$F$9:$F$564,"despesa_funcao_"&amp;$E251))</f>
        <v>31261448.85</v>
      </c>
      <c r="H251" s="6" t="n">
        <f aca="false">IF(OR(G251="",SUMIFS('Cálculos Municipais'!$T$9:$T$28,'Cálculos Municipais'!$C$9:$C$28,$C251,'Cálculos Municipais'!$D$9:$D$28,$D251)=0),"",G251*SUMIFS('Cálculos Municipais'!$T$9:$T$28,'Cálculos Municipais'!$C$9:$C$28,$C251,'Cálculos Municipais'!$D$9:$D$28,$D251))</f>
        <v>31261448.85</v>
      </c>
      <c r="I251" s="8" t="n">
        <f aca="false">IF(OR(G251="",SUMIFS('Dados DCA'!$L$9:$L$564,'Dados DCA'!$C$9:$C$564,$C251,'Dados DCA'!$E$9:$E$564,$D251,'Dados DCA'!$F$9:$F$564,"despesa_empenhada_exceto_intra")=0),"",G251/SUMIFS('Dados DCA'!$L$9:$L$564,'Dados DCA'!$C$9:$C$564,$C251,'Dados DCA'!$E$9:$E$564,$D251,'Dados DCA'!$F$9:$F$564,"despesa_empenhada_exceto_intra"))</f>
        <v>0.0848974125069869</v>
      </c>
      <c r="J251" s="12" t="s">
        <v>169</v>
      </c>
    </row>
    <row r="252" customFormat="false" ht="15" hidden="false" customHeight="false" outlineLevel="0" collapsed="false">
      <c r="C252" s="12" t="s">
        <v>6</v>
      </c>
      <c r="D252" s="16" t="n">
        <v>2024</v>
      </c>
      <c r="E252" s="12" t="s">
        <v>254</v>
      </c>
      <c r="F252" s="12" t="s">
        <v>255</v>
      </c>
      <c r="G252" s="6" t="n">
        <f aca="false">IF(COUNTIFS('Dados DCA'!$C$9:$C$564,$C252,'Dados DCA'!$E$9:$E$564,$D252,'Dados DCA'!$F$9:$F$564,"despesa_funcao_"&amp;$E252)=0,"",SUMIFS('Dados DCA'!$L$9:$L$564,'Dados DCA'!$C$9:$C$564,$C252,'Dados DCA'!$E$9:$E$564,$D252,'Dados DCA'!$F$9:$F$564,"despesa_funcao_"&amp;$E252))</f>
        <v>62103692.64</v>
      </c>
      <c r="H252" s="6" t="n">
        <f aca="false">IF(OR(G252="",SUMIFS('Cálculos Municipais'!$T$9:$T$28,'Cálculos Municipais'!$C$9:$C$28,$C252,'Cálculos Municipais'!$D$9:$D$28,$D252)=0),"",G252*SUMIFS('Cálculos Municipais'!$T$9:$T$28,'Cálculos Municipais'!$C$9:$C$28,$C252,'Cálculos Municipais'!$D$9:$D$28,$D252))</f>
        <v>62103692.64</v>
      </c>
      <c r="I252" s="8" t="n">
        <f aca="false">IF(OR(G252="",SUMIFS('Dados DCA'!$L$9:$L$564,'Dados DCA'!$C$9:$C$564,$C252,'Dados DCA'!$E$9:$E$564,$D252,'Dados DCA'!$F$9:$F$564,"despesa_empenhada_exceto_intra")=0),"",G252/SUMIFS('Dados DCA'!$L$9:$L$564,'Dados DCA'!$C$9:$C$564,$C252,'Dados DCA'!$E$9:$E$564,$D252,'Dados DCA'!$F$9:$F$564,"despesa_empenhada_exceto_intra"))</f>
        <v>0.168656380501226</v>
      </c>
      <c r="J252" s="12" t="s">
        <v>169</v>
      </c>
    </row>
    <row r="253" customFormat="false" ht="15" hidden="false" customHeight="false" outlineLevel="0" collapsed="false">
      <c r="C253" s="12" t="s">
        <v>6</v>
      </c>
      <c r="D253" s="16" t="n">
        <v>2024</v>
      </c>
      <c r="E253" s="12" t="s">
        <v>258</v>
      </c>
      <c r="F253" s="12" t="s">
        <v>259</v>
      </c>
      <c r="G253" s="6" t="n">
        <f aca="false">IF(COUNTIFS('Dados DCA'!$C$9:$C$564,$C253,'Dados DCA'!$E$9:$E$564,$D253,'Dados DCA'!$F$9:$F$564,"despesa_funcao_"&amp;$E253)=0,"",SUMIFS('Dados DCA'!$L$9:$L$564,'Dados DCA'!$C$9:$C$564,$C253,'Dados DCA'!$E$9:$E$564,$D253,'Dados DCA'!$F$9:$F$564,"despesa_funcao_"&amp;$E253))</f>
        <v>122875373.21</v>
      </c>
      <c r="H253" s="6" t="n">
        <f aca="false">IF(OR(G253="",SUMIFS('Cálculos Municipais'!$T$9:$T$28,'Cálculos Municipais'!$C$9:$C$28,$C253,'Cálculos Municipais'!$D$9:$D$28,$D253)=0),"",G253*SUMIFS('Cálculos Municipais'!$T$9:$T$28,'Cálculos Municipais'!$C$9:$C$28,$C253,'Cálculos Municipais'!$D$9:$D$28,$D253))</f>
        <v>122875373.21</v>
      </c>
      <c r="I253" s="8" t="n">
        <f aca="false">IF(OR(G253="",SUMIFS('Dados DCA'!$L$9:$L$564,'Dados DCA'!$C$9:$C$564,$C253,'Dados DCA'!$E$9:$E$564,$D253,'Dados DCA'!$F$9:$F$564,"despesa_empenhada_exceto_intra")=0),"",G253/SUMIFS('Dados DCA'!$L$9:$L$564,'Dados DCA'!$C$9:$C$564,$C253,'Dados DCA'!$E$9:$E$564,$D253,'Dados DCA'!$F$9:$F$564,"despesa_empenhada_exceto_intra"))</f>
        <v>0.333695386173995</v>
      </c>
      <c r="J253" s="12" t="s">
        <v>169</v>
      </c>
    </row>
    <row r="254" customFormat="false" ht="15" hidden="false" customHeight="false" outlineLevel="0" collapsed="false">
      <c r="C254" s="12" t="s">
        <v>6</v>
      </c>
      <c r="D254" s="16" t="n">
        <v>2024</v>
      </c>
      <c r="E254" s="12" t="s">
        <v>260</v>
      </c>
      <c r="F254" s="12" t="s">
        <v>261</v>
      </c>
      <c r="G254" s="6" t="n">
        <f aca="false">IF(COUNTIFS('Dados DCA'!$C$9:$C$564,$C254,'Dados DCA'!$E$9:$E$564,$D254,'Dados DCA'!$F$9:$F$564,"despesa_funcao_"&amp;$E254)=0,"",SUMIFS('Dados DCA'!$L$9:$L$564,'Dados DCA'!$C$9:$C$564,$C254,'Dados DCA'!$E$9:$E$564,$D254,'Dados DCA'!$F$9:$F$564,"despesa_funcao_"&amp;$E254))</f>
        <v>10706252.99</v>
      </c>
      <c r="H254" s="6" t="n">
        <f aca="false">IF(OR(G254="",SUMIFS('Cálculos Municipais'!$T$9:$T$28,'Cálculos Municipais'!$C$9:$C$28,$C254,'Cálculos Municipais'!$D$9:$D$28,$D254)=0),"",G254*SUMIFS('Cálculos Municipais'!$T$9:$T$28,'Cálculos Municipais'!$C$9:$C$28,$C254,'Cálculos Municipais'!$D$9:$D$28,$D254))</f>
        <v>10706252.99</v>
      </c>
      <c r="I254" s="8" t="n">
        <f aca="false">IF(OR(G254="",SUMIFS('Dados DCA'!$L$9:$L$564,'Dados DCA'!$C$9:$C$564,$C254,'Dados DCA'!$E$9:$E$564,$D254,'Dados DCA'!$F$9:$F$564,"despesa_empenhada_exceto_intra")=0),"",G254/SUMIFS('Dados DCA'!$L$9:$L$564,'Dados DCA'!$C$9:$C$564,$C254,'Dados DCA'!$E$9:$E$564,$D254,'Dados DCA'!$F$9:$F$564,"despesa_empenhada_exceto_intra"))</f>
        <v>0.0290752095610627</v>
      </c>
      <c r="J254" s="12" t="s">
        <v>169</v>
      </c>
    </row>
    <row r="255" customFormat="false" ht="15" hidden="false" customHeight="false" outlineLevel="0" collapsed="false">
      <c r="C255" s="12" t="s">
        <v>6</v>
      </c>
      <c r="D255" s="16" t="n">
        <v>2024</v>
      </c>
      <c r="E255" s="12" t="s">
        <v>278</v>
      </c>
      <c r="F255" s="12" t="s">
        <v>279</v>
      </c>
      <c r="G255" s="6" t="n">
        <f aca="false">IF(COUNTIFS('Dados DCA'!$C$9:$C$564,$C255,'Dados DCA'!$E$9:$E$564,$D255,'Dados DCA'!$F$9:$F$564,"despesa_funcao_"&amp;$E255)=0,"",SUMIFS('Dados DCA'!$L$9:$L$564,'Dados DCA'!$C$9:$C$564,$C255,'Dados DCA'!$E$9:$E$564,$D255,'Dados DCA'!$F$9:$F$564,"despesa_funcao_"&amp;$E255))</f>
        <v>306217.69</v>
      </c>
      <c r="H255" s="6" t="n">
        <f aca="false">IF(OR(G255="",SUMIFS('Cálculos Municipais'!$T$9:$T$28,'Cálculos Municipais'!$C$9:$C$28,$C255,'Cálculos Municipais'!$D$9:$D$28,$D255)=0),"",G255*SUMIFS('Cálculos Municipais'!$T$9:$T$28,'Cálculos Municipais'!$C$9:$C$28,$C255,'Cálculos Municipais'!$D$9:$D$28,$D255))</f>
        <v>306217.69</v>
      </c>
      <c r="I255" s="8" t="n">
        <f aca="false">IF(OR(G255="",SUMIFS('Dados DCA'!$L$9:$L$564,'Dados DCA'!$C$9:$C$564,$C255,'Dados DCA'!$E$9:$E$564,$D255,'Dados DCA'!$F$9:$F$564,"despesa_empenhada_exceto_intra")=0),"",G255/SUMIFS('Dados DCA'!$L$9:$L$564,'Dados DCA'!$C$9:$C$564,$C255,'Dados DCA'!$E$9:$E$564,$D255,'Dados DCA'!$F$9:$F$564,"despesa_empenhada_exceto_intra"))</f>
        <v>0.000831602196993715</v>
      </c>
      <c r="J255" s="12" t="s">
        <v>169</v>
      </c>
    </row>
    <row r="256" customFormat="false" ht="15" hidden="false" customHeight="false" outlineLevel="0" collapsed="false">
      <c r="C256" s="12" t="s">
        <v>6</v>
      </c>
      <c r="D256" s="16" t="n">
        <v>2024</v>
      </c>
      <c r="E256" s="12" t="s">
        <v>262</v>
      </c>
      <c r="F256" s="12" t="s">
        <v>263</v>
      </c>
      <c r="G256" s="6" t="n">
        <f aca="false">IF(COUNTIFS('Dados DCA'!$C$9:$C$564,$C256,'Dados DCA'!$E$9:$E$564,$D256,'Dados DCA'!$F$9:$F$564,"despesa_funcao_"&amp;$E256)=0,"",SUMIFS('Dados DCA'!$L$9:$L$564,'Dados DCA'!$C$9:$C$564,$C256,'Dados DCA'!$E$9:$E$564,$D256,'Dados DCA'!$F$9:$F$564,"despesa_funcao_"&amp;$E256))</f>
        <v>70276809.99</v>
      </c>
      <c r="H256" s="6" t="n">
        <f aca="false">IF(OR(G256="",SUMIFS('Cálculos Municipais'!$T$9:$T$28,'Cálculos Municipais'!$C$9:$C$28,$C256,'Cálculos Municipais'!$D$9:$D$28,$D256)=0),"",G256*SUMIFS('Cálculos Municipais'!$T$9:$T$28,'Cálculos Municipais'!$C$9:$C$28,$C256,'Cálculos Municipais'!$D$9:$D$28,$D256))</f>
        <v>70276809.99</v>
      </c>
      <c r="I256" s="8" t="n">
        <f aca="false">IF(OR(G256="",SUMIFS('Dados DCA'!$L$9:$L$564,'Dados DCA'!$C$9:$C$564,$C256,'Dados DCA'!$E$9:$E$564,$D256,'Dados DCA'!$F$9:$F$564,"despesa_empenhada_exceto_intra")=0),"",G256/SUMIFS('Dados DCA'!$L$9:$L$564,'Dados DCA'!$C$9:$C$564,$C256,'Dados DCA'!$E$9:$E$564,$D256,'Dados DCA'!$F$9:$F$564,"despesa_empenhada_exceto_intra"))</f>
        <v>0.190852297218341</v>
      </c>
      <c r="J256" s="12" t="s">
        <v>169</v>
      </c>
    </row>
    <row r="257" customFormat="false" ht="15" hidden="false" customHeight="false" outlineLevel="0" collapsed="false">
      <c r="C257" s="12" t="s">
        <v>6</v>
      </c>
      <c r="D257" s="16" t="n">
        <v>2024</v>
      </c>
      <c r="E257" s="12" t="s">
        <v>264</v>
      </c>
      <c r="F257" s="12" t="s">
        <v>265</v>
      </c>
      <c r="G257" s="6" t="n">
        <f aca="false">IF(COUNTIFS('Dados DCA'!$C$9:$C$564,$C257,'Dados DCA'!$E$9:$E$564,$D257,'Dados DCA'!$F$9:$F$564,"despesa_funcao_"&amp;$E257)=0,"",SUMIFS('Dados DCA'!$L$9:$L$564,'Dados DCA'!$C$9:$C$564,$C257,'Dados DCA'!$E$9:$E$564,$D257,'Dados DCA'!$F$9:$F$564,"despesa_funcao_"&amp;$E257))</f>
        <v>1883573.27</v>
      </c>
      <c r="H257" s="6" t="n">
        <f aca="false">IF(OR(G257="",SUMIFS('Cálculos Municipais'!$T$9:$T$28,'Cálculos Municipais'!$C$9:$C$28,$C257,'Cálculos Municipais'!$D$9:$D$28,$D257)=0),"",G257*SUMIFS('Cálculos Municipais'!$T$9:$T$28,'Cálculos Municipais'!$C$9:$C$28,$C257,'Cálculos Municipais'!$D$9:$D$28,$D257))</f>
        <v>1883573.27</v>
      </c>
      <c r="I257" s="8" t="n">
        <f aca="false">IF(OR(G257="",SUMIFS('Dados DCA'!$L$9:$L$564,'Dados DCA'!$C$9:$C$564,$C257,'Dados DCA'!$E$9:$E$564,$D257,'Dados DCA'!$F$9:$F$564,"despesa_empenhada_exceto_intra")=0),"",G257/SUMIFS('Dados DCA'!$L$9:$L$564,'Dados DCA'!$C$9:$C$564,$C257,'Dados DCA'!$E$9:$E$564,$D257,'Dados DCA'!$F$9:$F$564,"despesa_empenhada_exceto_intra"))</f>
        <v>0.00511526185678769</v>
      </c>
      <c r="J257" s="12" t="s">
        <v>169</v>
      </c>
    </row>
    <row r="258" customFormat="false" ht="15" hidden="false" customHeight="false" outlineLevel="0" collapsed="false">
      <c r="C258" s="12" t="s">
        <v>6</v>
      </c>
      <c r="D258" s="16" t="n">
        <v>2024</v>
      </c>
      <c r="E258" s="12" t="s">
        <v>266</v>
      </c>
      <c r="F258" s="12" t="s">
        <v>267</v>
      </c>
      <c r="G258" s="6" t="n">
        <f aca="false">IF(COUNTIFS('Dados DCA'!$C$9:$C$564,$C258,'Dados DCA'!$E$9:$E$564,$D258,'Dados DCA'!$F$9:$F$564,"despesa_funcao_"&amp;$E258)=0,"",SUMIFS('Dados DCA'!$L$9:$L$564,'Dados DCA'!$C$9:$C$564,$C258,'Dados DCA'!$E$9:$E$564,$D258,'Dados DCA'!$F$9:$F$564,"despesa_funcao_"&amp;$E258))</f>
        <v>2927103.4</v>
      </c>
      <c r="H258" s="6" t="n">
        <f aca="false">IF(OR(G258="",SUMIFS('Cálculos Municipais'!$T$9:$T$28,'Cálculos Municipais'!$C$9:$C$28,$C258,'Cálculos Municipais'!$D$9:$D$28,$D258)=0),"",G258*SUMIFS('Cálculos Municipais'!$T$9:$T$28,'Cálculos Municipais'!$C$9:$C$28,$C258,'Cálculos Municipais'!$D$9:$D$28,$D258))</f>
        <v>2927103.4</v>
      </c>
      <c r="I258" s="8" t="n">
        <f aca="false">IF(OR(G258="",SUMIFS('Dados DCA'!$L$9:$L$564,'Dados DCA'!$C$9:$C$564,$C258,'Dados DCA'!$E$9:$E$564,$D258,'Dados DCA'!$F$9:$F$564,"despesa_empenhada_exceto_intra")=0),"",G258/SUMIFS('Dados DCA'!$L$9:$L$564,'Dados DCA'!$C$9:$C$564,$C258,'Dados DCA'!$E$9:$E$564,$D258,'Dados DCA'!$F$9:$F$564,"despesa_empenhada_exceto_intra"))</f>
        <v>0.00794919985931503</v>
      </c>
      <c r="J258" s="12" t="s">
        <v>169</v>
      </c>
    </row>
    <row r="259" customFormat="false" ht="15" hidden="false" customHeight="false" outlineLevel="0" collapsed="false">
      <c r="C259" s="12" t="s">
        <v>6</v>
      </c>
      <c r="D259" s="16" t="n">
        <v>2024</v>
      </c>
      <c r="E259" s="12" t="s">
        <v>268</v>
      </c>
      <c r="F259" s="12" t="s">
        <v>269</v>
      </c>
      <c r="G259" s="6" t="n">
        <f aca="false">IF(COUNTIFS('Dados DCA'!$C$9:$C$564,$C259,'Dados DCA'!$E$9:$E$564,$D259,'Dados DCA'!$F$9:$F$564,"despesa_funcao_"&amp;$E259)=0,"",SUMIFS('Dados DCA'!$L$9:$L$564,'Dados DCA'!$C$9:$C$564,$C259,'Dados DCA'!$E$9:$E$564,$D259,'Dados DCA'!$F$9:$F$564,"despesa_funcao_"&amp;$E259))</f>
        <v>5536233.01</v>
      </c>
      <c r="H259" s="6" t="n">
        <f aca="false">IF(OR(G259="",SUMIFS('Cálculos Municipais'!$T$9:$T$28,'Cálculos Municipais'!$C$9:$C$28,$C259,'Cálculos Municipais'!$D$9:$D$28,$D259)=0),"",G259*SUMIFS('Cálculos Municipais'!$T$9:$T$28,'Cálculos Municipais'!$C$9:$C$28,$C259,'Cálculos Municipais'!$D$9:$D$28,$D259))</f>
        <v>5536233.01</v>
      </c>
      <c r="I259" s="8" t="n">
        <f aca="false">IF(OR(G259="",SUMIFS('Dados DCA'!$L$9:$L$564,'Dados DCA'!$C$9:$C$564,$C259,'Dados DCA'!$E$9:$E$564,$D259,'Dados DCA'!$F$9:$F$564,"despesa_empenhada_exceto_intra")=0),"",G259/SUMIFS('Dados DCA'!$L$9:$L$564,'Dados DCA'!$C$9:$C$564,$C259,'Dados DCA'!$E$9:$E$564,$D259,'Dados DCA'!$F$9:$F$564,"despesa_empenhada_exceto_intra"))</f>
        <v>0.0150348712191811</v>
      </c>
      <c r="J259" s="12" t="s">
        <v>169</v>
      </c>
    </row>
    <row r="260" customFormat="false" ht="15" hidden="false" customHeight="false" outlineLevel="0" collapsed="false">
      <c r="C260" s="12" t="s">
        <v>6</v>
      </c>
      <c r="D260" s="16" t="n">
        <v>2024</v>
      </c>
      <c r="E260" s="12" t="s">
        <v>288</v>
      </c>
      <c r="F260" s="12" t="s">
        <v>289</v>
      </c>
      <c r="G260" s="6" t="n">
        <f aca="false">IF(COUNTIFS('Dados DCA'!$C$9:$C$564,$C260,'Dados DCA'!$E$9:$E$564,$D260,'Dados DCA'!$F$9:$F$564,"despesa_funcao_"&amp;$E260)=0,"",SUMIFS('Dados DCA'!$L$9:$L$564,'Dados DCA'!$C$9:$C$564,$C260,'Dados DCA'!$E$9:$E$564,$D260,'Dados DCA'!$F$9:$F$564,"despesa_funcao_"&amp;$E260))</f>
        <v>830721.01</v>
      </c>
      <c r="H260" s="6" t="n">
        <f aca="false">IF(OR(G260="",SUMIFS('Cálculos Municipais'!$T$9:$T$28,'Cálculos Municipais'!$C$9:$C$28,$C260,'Cálculos Municipais'!$D$9:$D$28,$D260)=0),"",G260*SUMIFS('Cálculos Municipais'!$T$9:$T$28,'Cálculos Municipais'!$C$9:$C$28,$C260,'Cálculos Municipais'!$D$9:$D$28,$D260))</f>
        <v>830721.01</v>
      </c>
      <c r="I260" s="8" t="n">
        <f aca="false">IF(OR(G260="",SUMIFS('Dados DCA'!$L$9:$L$564,'Dados DCA'!$C$9:$C$564,$C260,'Dados DCA'!$E$9:$E$564,$D260,'Dados DCA'!$F$9:$F$564,"despesa_empenhada_exceto_intra")=0),"",G260/SUMIFS('Dados DCA'!$L$9:$L$564,'Dados DCA'!$C$9:$C$564,$C260,'Dados DCA'!$E$9:$E$564,$D260,'Dados DCA'!$F$9:$F$564,"despesa_empenhada_exceto_intra"))</f>
        <v>0.00225600753831315</v>
      </c>
      <c r="J260" s="12" t="s">
        <v>169</v>
      </c>
    </row>
    <row r="261" customFormat="false" ht="15" hidden="false" customHeight="false" outlineLevel="0" collapsed="false">
      <c r="C261" s="12" t="s">
        <v>6</v>
      </c>
      <c r="D261" s="16" t="n">
        <v>2024</v>
      </c>
      <c r="E261" s="12" t="s">
        <v>280</v>
      </c>
      <c r="F261" s="12" t="s">
        <v>281</v>
      </c>
      <c r="G261" s="6" t="n">
        <f aca="false">IF(COUNTIFS('Dados DCA'!$C$9:$C$564,$C261,'Dados DCA'!$E$9:$E$564,$D261,'Dados DCA'!$F$9:$F$564,"despesa_funcao_"&amp;$E261)=0,"",SUMIFS('Dados DCA'!$L$9:$L$564,'Dados DCA'!$C$9:$C$564,$C261,'Dados DCA'!$E$9:$E$564,$D261,'Dados DCA'!$F$9:$F$564,"despesa_funcao_"&amp;$E261))</f>
        <v>2871233.6</v>
      </c>
      <c r="H261" s="6" t="n">
        <f aca="false">IF(OR(G261="",SUMIFS('Cálculos Municipais'!$T$9:$T$28,'Cálculos Municipais'!$C$9:$C$28,$C261,'Cálculos Municipais'!$D$9:$D$28,$D261)=0),"",G261*SUMIFS('Cálculos Municipais'!$T$9:$T$28,'Cálculos Municipais'!$C$9:$C$28,$C261,'Cálculos Municipais'!$D$9:$D$28,$D261))</f>
        <v>2871233.6</v>
      </c>
      <c r="I261" s="8" t="n">
        <f aca="false">IF(OR(G261="",SUMIFS('Dados DCA'!$L$9:$L$564,'Dados DCA'!$C$9:$C$564,$C261,'Dados DCA'!$E$9:$E$564,$D261,'Dados DCA'!$F$9:$F$564,"despesa_empenhada_exceto_intra")=0),"",G261/SUMIFS('Dados DCA'!$L$9:$L$564,'Dados DCA'!$C$9:$C$564,$C261,'Dados DCA'!$E$9:$E$564,$D261,'Dados DCA'!$F$9:$F$564,"despesa_empenhada_exceto_intra"))</f>
        <v>0.00779747299981975</v>
      </c>
      <c r="J261" s="12" t="s">
        <v>169</v>
      </c>
    </row>
    <row r="262" customFormat="false" ht="15" hidden="false" customHeight="false" outlineLevel="0" collapsed="false">
      <c r="C262" s="12" t="s">
        <v>6</v>
      </c>
      <c r="D262" s="16" t="n">
        <v>2024</v>
      </c>
      <c r="E262" s="12" t="s">
        <v>272</v>
      </c>
      <c r="F262" s="12" t="s">
        <v>273</v>
      </c>
      <c r="G262" s="6" t="n">
        <f aca="false">IF(COUNTIFS('Dados DCA'!$C$9:$C$564,$C262,'Dados DCA'!$E$9:$E$564,$D262,'Dados DCA'!$F$9:$F$564,"despesa_funcao_"&amp;$E262)=0,"",SUMIFS('Dados DCA'!$L$9:$L$564,'Dados DCA'!$C$9:$C$564,$C262,'Dados DCA'!$E$9:$E$564,$D262,'Dados DCA'!$F$9:$F$564,"despesa_funcao_"&amp;$E262))</f>
        <v>1070916.9</v>
      </c>
      <c r="H262" s="6" t="n">
        <f aca="false">IF(OR(G262="",SUMIFS('Cálculos Municipais'!$T$9:$T$28,'Cálculos Municipais'!$C$9:$C$28,$C262,'Cálculos Municipais'!$D$9:$D$28,$D262)=0),"",G262*SUMIFS('Cálculos Municipais'!$T$9:$T$28,'Cálculos Municipais'!$C$9:$C$28,$C262,'Cálculos Municipais'!$D$9:$D$28,$D262))</f>
        <v>1070916.9</v>
      </c>
      <c r="I262" s="8" t="n">
        <f aca="false">IF(OR(G262="",SUMIFS('Dados DCA'!$L$9:$L$564,'Dados DCA'!$C$9:$C$564,$C262,'Dados DCA'!$E$9:$E$564,$D262,'Dados DCA'!$F$9:$F$564,"despesa_empenhada_exceto_intra")=0),"",G262/SUMIFS('Dados DCA'!$L$9:$L$564,'Dados DCA'!$C$9:$C$564,$C262,'Dados DCA'!$E$9:$E$564,$D262,'Dados DCA'!$F$9:$F$564,"despesa_empenhada_exceto_intra"))</f>
        <v>0.00290831286343287</v>
      </c>
      <c r="J262" s="12" t="s">
        <v>169</v>
      </c>
    </row>
    <row r="263" customFormat="false" ht="15" hidden="false" customHeight="false" outlineLevel="0" collapsed="false">
      <c r="C263" s="12" t="s">
        <v>6</v>
      </c>
      <c r="D263" s="16" t="n">
        <v>2024</v>
      </c>
      <c r="E263" s="12" t="s">
        <v>282</v>
      </c>
      <c r="F263" s="12" t="s">
        <v>283</v>
      </c>
      <c r="G263" s="6" t="n">
        <f aca="false">IF(COUNTIFS('Dados DCA'!$C$9:$C$564,$C263,'Dados DCA'!$E$9:$E$564,$D263,'Dados DCA'!$F$9:$F$564,"despesa_funcao_"&amp;$E263)=0,"",SUMIFS('Dados DCA'!$L$9:$L$564,'Dados DCA'!$C$9:$C$564,$C263,'Dados DCA'!$E$9:$E$564,$D263,'Dados DCA'!$F$9:$F$564,"despesa_funcao_"&amp;$E263))</f>
        <v>772847.11</v>
      </c>
      <c r="H263" s="6" t="n">
        <f aca="false">IF(OR(G263="",SUMIFS('Cálculos Municipais'!$T$9:$T$28,'Cálculos Municipais'!$C$9:$C$28,$C263,'Cálculos Municipais'!$D$9:$D$28,$D263)=0),"",G263*SUMIFS('Cálculos Municipais'!$T$9:$T$28,'Cálculos Municipais'!$C$9:$C$28,$C263,'Cálculos Municipais'!$D$9:$D$28,$D263))</f>
        <v>772847.11</v>
      </c>
      <c r="I263" s="8" t="n">
        <f aca="false">IF(OR(G263="",SUMIFS('Dados DCA'!$L$9:$L$564,'Dados DCA'!$C$9:$C$564,$C263,'Dados DCA'!$E$9:$E$564,$D263,'Dados DCA'!$F$9:$F$564,"despesa_empenhada_exceto_intra")=0),"",G263/SUMIFS('Dados DCA'!$L$9:$L$564,'Dados DCA'!$C$9:$C$564,$C263,'Dados DCA'!$E$9:$E$564,$D263,'Dados DCA'!$F$9:$F$564,"despesa_empenhada_exceto_intra"))</f>
        <v>0.00209883809983755</v>
      </c>
      <c r="J263" s="12" t="s">
        <v>169</v>
      </c>
    </row>
    <row r="264" customFormat="false" ht="15" hidden="false" customHeight="false" outlineLevel="0" collapsed="false">
      <c r="C264" s="12" t="s">
        <v>6</v>
      </c>
      <c r="D264" s="16" t="n">
        <v>2024</v>
      </c>
      <c r="E264" s="12" t="s">
        <v>274</v>
      </c>
      <c r="F264" s="12" t="s">
        <v>275</v>
      </c>
      <c r="G264" s="6" t="n">
        <f aca="false">IF(COUNTIFS('Dados DCA'!$C$9:$C$564,$C264,'Dados DCA'!$E$9:$E$564,$D264,'Dados DCA'!$F$9:$F$564,"despesa_funcao_"&amp;$E264)=0,"",SUMIFS('Dados DCA'!$L$9:$L$564,'Dados DCA'!$C$9:$C$564,$C264,'Dados DCA'!$E$9:$E$564,$D264,'Dados DCA'!$F$9:$F$564,"despesa_funcao_"&amp;$E264))</f>
        <v>10373776.31</v>
      </c>
      <c r="H264" s="6" t="n">
        <f aca="false">IF(OR(G264="",SUMIFS('Cálculos Municipais'!$T$9:$T$28,'Cálculos Municipais'!$C$9:$C$28,$C264,'Cálculos Municipais'!$D$9:$D$28,$D264)=0),"",G264*SUMIFS('Cálculos Municipais'!$T$9:$T$28,'Cálculos Municipais'!$C$9:$C$28,$C264,'Cálculos Municipais'!$D$9:$D$28,$D264))</f>
        <v>10373776.31</v>
      </c>
      <c r="I264" s="8" t="n">
        <f aca="false">IF(OR(G264="",SUMIFS('Dados DCA'!$L$9:$L$564,'Dados DCA'!$C$9:$C$564,$C264,'Dados DCA'!$E$9:$E$564,$D264,'Dados DCA'!$F$9:$F$564,"despesa_empenhada_exceto_intra")=0),"",G264/SUMIFS('Dados DCA'!$L$9:$L$564,'Dados DCA'!$C$9:$C$564,$C264,'Dados DCA'!$E$9:$E$564,$D264,'Dados DCA'!$F$9:$F$564,"despesa_empenhada_exceto_intra"))</f>
        <v>0.0281722952404133</v>
      </c>
      <c r="J264" s="12" t="s">
        <v>169</v>
      </c>
    </row>
  </sheetData>
  <autoFilter ref="C8:J264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D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48"/>
  </cols>
  <sheetData>
    <row r="3" customFormat="false" ht="19.7" hidden="false" customHeight="false" outlineLevel="0" collapsed="false">
      <c r="C3" s="1" t="s">
        <v>290</v>
      </c>
      <c r="D3" s="2"/>
    </row>
    <row r="5" customFormat="false" ht="15" hidden="false" customHeight="false" outlineLevel="0" collapsed="false">
      <c r="C5" s="3" t="s">
        <v>291</v>
      </c>
    </row>
    <row r="6" customFormat="false" ht="15" hidden="false" customHeight="false" outlineLevel="0" collapsed="false">
      <c r="C6" s="4" t="s">
        <v>292</v>
      </c>
    </row>
    <row r="8" customFormat="false" ht="33.75" hidden="false" customHeight="true" outlineLevel="0" collapsed="false">
      <c r="C8" s="5" t="s">
        <v>293</v>
      </c>
      <c r="D8" s="5" t="s">
        <v>294</v>
      </c>
    </row>
    <row r="9" customFormat="false" ht="36" hidden="false" customHeight="true" outlineLevel="0" collapsed="false">
      <c r="C9" s="22" t="s">
        <v>295</v>
      </c>
      <c r="D9" s="23" t="s">
        <v>296</v>
      </c>
    </row>
    <row r="10" customFormat="false" ht="36" hidden="false" customHeight="true" outlineLevel="0" collapsed="false">
      <c r="C10" s="22" t="s">
        <v>297</v>
      </c>
      <c r="D10" s="23" t="s">
        <v>298</v>
      </c>
    </row>
    <row r="11" customFormat="false" ht="36" hidden="false" customHeight="true" outlineLevel="0" collapsed="false">
      <c r="C11" s="22" t="s">
        <v>299</v>
      </c>
      <c r="D11" s="23" t="s">
        <v>300</v>
      </c>
    </row>
    <row r="12" customFormat="false" ht="36" hidden="false" customHeight="true" outlineLevel="0" collapsed="false">
      <c r="C12" s="22" t="s">
        <v>301</v>
      </c>
      <c r="D12" s="23" t="s">
        <v>302</v>
      </c>
    </row>
    <row r="13" customFormat="false" ht="36" hidden="false" customHeight="true" outlineLevel="0" collapsed="false">
      <c r="C13" s="22" t="s">
        <v>303</v>
      </c>
      <c r="D13" s="23" t="s">
        <v>304</v>
      </c>
    </row>
    <row r="14" customFormat="false" ht="36" hidden="false" customHeight="true" outlineLevel="0" collapsed="false">
      <c r="C14" s="22" t="s">
        <v>305</v>
      </c>
      <c r="D14" s="23" t="s">
        <v>306</v>
      </c>
    </row>
    <row r="15" customFormat="false" ht="36" hidden="false" customHeight="true" outlineLevel="0" collapsed="false">
      <c r="C15" s="22" t="s">
        <v>307</v>
      </c>
      <c r="D15" s="23" t="s">
        <v>308</v>
      </c>
    </row>
    <row r="16" customFormat="false" ht="36" hidden="false" customHeight="true" outlineLevel="0" collapsed="false">
      <c r="C16" s="22" t="s">
        <v>309</v>
      </c>
      <c r="D16" s="23" t="s">
        <v>310</v>
      </c>
    </row>
    <row r="17" customFormat="false" ht="36" hidden="false" customHeight="true" outlineLevel="0" collapsed="false">
      <c r="C17" s="22" t="s">
        <v>311</v>
      </c>
      <c r="D17" s="23" t="s">
        <v>312</v>
      </c>
    </row>
    <row r="18" customFormat="false" ht="36" hidden="false" customHeight="true" outlineLevel="0" collapsed="false">
      <c r="C18" s="22" t="s">
        <v>313</v>
      </c>
      <c r="D18" s="23" t="s">
        <v>314</v>
      </c>
    </row>
    <row r="19" customFormat="false" ht="36" hidden="false" customHeight="true" outlineLevel="0" collapsed="false">
      <c r="C19" s="22" t="s">
        <v>315</v>
      </c>
      <c r="D19" s="23" t="s">
        <v>316</v>
      </c>
    </row>
    <row r="20" customFormat="false" ht="25.5" hidden="false" customHeight="true" outlineLevel="0" collapsed="false">
      <c r="C20" s="22" t="s">
        <v>317</v>
      </c>
      <c r="D20" s="23" t="s">
        <v>318</v>
      </c>
    </row>
  </sheetData>
  <autoFilter ref="C8:D20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D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48"/>
  </cols>
  <sheetData>
    <row r="3" customFormat="false" ht="19.7" hidden="false" customHeight="false" outlineLevel="0" collapsed="false">
      <c r="C3" s="1" t="s">
        <v>319</v>
      </c>
      <c r="D3" s="2"/>
    </row>
    <row r="5" customFormat="false" ht="15" hidden="false" customHeight="false" outlineLevel="0" collapsed="false">
      <c r="C5" s="3" t="s">
        <v>320</v>
      </c>
    </row>
    <row r="6" customFormat="false" ht="15" hidden="false" customHeight="false" outlineLevel="0" collapsed="false">
      <c r="C6" s="4" t="s">
        <v>321</v>
      </c>
    </row>
    <row r="8" customFormat="false" ht="33.75" hidden="false" customHeight="true" outlineLevel="0" collapsed="false">
      <c r="C8" s="5" t="s">
        <v>322</v>
      </c>
      <c r="D8" s="5" t="s">
        <v>323</v>
      </c>
    </row>
    <row r="9" customFormat="false" ht="24" hidden="false" customHeight="true" outlineLevel="0" collapsed="false">
      <c r="C9" s="0" t="s">
        <v>324</v>
      </c>
      <c r="D9" s="23" t="s">
        <v>325</v>
      </c>
    </row>
    <row r="10" customFormat="false" ht="24" hidden="false" customHeight="true" outlineLevel="0" collapsed="false">
      <c r="C10" s="0" t="s">
        <v>326</v>
      </c>
      <c r="D10" s="23" t="s">
        <v>327</v>
      </c>
    </row>
    <row r="11" customFormat="false" ht="24" hidden="false" customHeight="true" outlineLevel="0" collapsed="false">
      <c r="C11" s="0" t="s">
        <v>328</v>
      </c>
      <c r="D11" s="23" t="s">
        <v>329</v>
      </c>
    </row>
    <row r="12" customFormat="false" ht="24" hidden="false" customHeight="true" outlineLevel="0" collapsed="false">
      <c r="C12" s="0" t="s">
        <v>330</v>
      </c>
      <c r="D12" s="23" t="s">
        <v>331</v>
      </c>
    </row>
    <row r="13" customFormat="false" ht="24" hidden="false" customHeight="true" outlineLevel="0" collapsed="false">
      <c r="C13" s="0" t="s">
        <v>332</v>
      </c>
      <c r="D13" s="23" t="s">
        <v>333</v>
      </c>
    </row>
    <row r="14" customFormat="false" ht="24" hidden="false" customHeight="true" outlineLevel="0" collapsed="false">
      <c r="C14" s="0" t="s">
        <v>334</v>
      </c>
      <c r="D14" s="23" t="s">
        <v>335</v>
      </c>
    </row>
    <row r="15" customFormat="false" ht="24" hidden="false" customHeight="true" outlineLevel="0" collapsed="false">
      <c r="C15" s="0" t="s">
        <v>336</v>
      </c>
      <c r="D15" s="23" t="s">
        <v>337</v>
      </c>
    </row>
    <row r="16" customFormat="false" ht="24" hidden="false" customHeight="true" outlineLevel="0" collapsed="false">
      <c r="C16" s="0" t="s">
        <v>338</v>
      </c>
      <c r="D16" s="23" t="s">
        <v>339</v>
      </c>
    </row>
    <row r="17" customFormat="false" ht="24" hidden="false" customHeight="true" outlineLevel="0" collapsed="false">
      <c r="C17" s="0" t="s">
        <v>340</v>
      </c>
      <c r="D17" s="23" t="s">
        <v>341</v>
      </c>
    </row>
    <row r="18" customFormat="false" ht="24" hidden="false" customHeight="true" outlineLevel="0" collapsed="false">
      <c r="C18" s="0" t="s">
        <v>342</v>
      </c>
      <c r="D18" s="23" t="s">
        <v>343</v>
      </c>
    </row>
    <row r="19" customFormat="false" ht="24" hidden="false" customHeight="true" outlineLevel="0" collapsed="false">
      <c r="C19" s="0" t="s">
        <v>344</v>
      </c>
      <c r="D19" s="23" t="s">
        <v>345</v>
      </c>
    </row>
    <row r="20" customFormat="false" ht="24" hidden="false" customHeight="true" outlineLevel="0" collapsed="false">
      <c r="C20" s="0" t="s">
        <v>346</v>
      </c>
      <c r="D20" s="23" t="s">
        <v>347</v>
      </c>
    </row>
  </sheetData>
  <autoFilter ref="C8:D20"/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| 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2026-10-26T01:49:56Z</dcterms:created>
  <dc:creator>openpyxl</dc:creator>
  <dc:description/>
  <dc:language>en-US</dc:language>
  <cp:lastModifiedBy/>
  <dcterms:modified xsi:type="dcterms:W3CDTF">2026-10-26T01:49:57Z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